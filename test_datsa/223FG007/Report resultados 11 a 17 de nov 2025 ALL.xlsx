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iro\OneDrive - BÜCHI Labortechnik AG\Desktop\BUNGE_Manteniment11112025\223FG007\"/>
    </mc:Choice>
  </mc:AlternateContent>
  <xr:revisionPtr revIDLastSave="0" documentId="13_ncr:9_{A1DC2F9F-A456-47F3-8359-8BC403C90F3D}" xr6:coauthVersionLast="47" xr6:coauthVersionMax="47" xr10:uidLastSave="{00000000-0000-0000-0000-000000000000}"/>
  <bookViews>
    <workbookView xWindow="-108" yWindow="-108" windowWidth="23256" windowHeight="12456" activeTab="3" xr2:uid="{DEC98DFB-CC35-4E31-9C1F-58FDA38230D8}"/>
  </bookViews>
  <sheets>
    <sheet name="Avena" sheetId="1" r:id="rId1"/>
    <sheet name="Alfalfa" sheetId="2" r:id="rId2"/>
    <sheet name="Colza" sheetId="3" r:id="rId3"/>
    <sheet name="Cerdos" sheetId="4" r:id="rId4"/>
    <sheet name="Soja" sheetId="5" r:id="rId5"/>
    <sheet name="Maiz" sheetId="6" r:id="rId6"/>
    <sheet name="TrigoTriti" sheetId="7" r:id="rId7"/>
    <sheet name="Espectros" sheetId="8" r:id="rId8"/>
  </sheets>
  <definedNames>
    <definedName name="_xlnm._FilterDatabase" localSheetId="3" hidden="1">Cerdos!$A$3:$Z$91</definedName>
    <definedName name="_xlnm._FilterDatabase" localSheetId="5" hidden="1">Maiz!$A$3:$X$83</definedName>
    <definedName name="_xlnm._FilterDatabase" localSheetId="4" hidden="1">Soja!$A$3:$T$77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9" i="8" l="1"/>
  <c r="G139" i="8"/>
  <c r="H138" i="8"/>
  <c r="G138" i="8"/>
  <c r="H137" i="8"/>
  <c r="G137" i="8"/>
  <c r="H136" i="8"/>
  <c r="G136" i="8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Q77" i="5"/>
  <c r="P77" i="5"/>
  <c r="O77" i="5"/>
  <c r="N77" i="5"/>
  <c r="M77" i="5"/>
  <c r="L77" i="5"/>
  <c r="K77" i="5"/>
  <c r="J77" i="5"/>
  <c r="I77" i="5"/>
  <c r="H77" i="5"/>
  <c r="G77" i="5"/>
  <c r="Q76" i="5"/>
  <c r="P76" i="5"/>
  <c r="O76" i="5"/>
  <c r="N76" i="5"/>
  <c r="M76" i="5"/>
  <c r="L76" i="5"/>
  <c r="K76" i="5"/>
  <c r="J76" i="5"/>
  <c r="I76" i="5"/>
  <c r="H76" i="5"/>
  <c r="G76" i="5"/>
  <c r="Q75" i="5"/>
  <c r="P75" i="5"/>
  <c r="O75" i="5"/>
  <c r="N75" i="5"/>
  <c r="M75" i="5"/>
  <c r="L75" i="5"/>
  <c r="K75" i="5"/>
  <c r="J75" i="5"/>
  <c r="I75" i="5"/>
  <c r="H75" i="5"/>
  <c r="G75" i="5"/>
  <c r="Q74" i="5"/>
  <c r="P74" i="5"/>
  <c r="O74" i="5"/>
  <c r="N74" i="5"/>
  <c r="M74" i="5"/>
  <c r="L74" i="5"/>
  <c r="K74" i="5"/>
  <c r="J74" i="5"/>
  <c r="I74" i="5"/>
  <c r="H74" i="5"/>
  <c r="G74" i="5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S8" i="1"/>
  <c r="R8" i="1"/>
  <c r="Q8" i="1"/>
  <c r="P8" i="1"/>
  <c r="O8" i="1"/>
  <c r="N8" i="1"/>
  <c r="M8" i="1"/>
  <c r="L8" i="1"/>
  <c r="K8" i="1"/>
  <c r="J8" i="1"/>
  <c r="I8" i="1"/>
  <c r="H8" i="1"/>
  <c r="G8" i="1"/>
  <c r="S7" i="1"/>
  <c r="R7" i="1"/>
  <c r="Q7" i="1"/>
  <c r="P7" i="1"/>
  <c r="O7" i="1"/>
  <c r="N7" i="1"/>
  <c r="M7" i="1"/>
  <c r="L7" i="1"/>
  <c r="K7" i="1"/>
  <c r="J7" i="1"/>
  <c r="I7" i="1"/>
  <c r="H7" i="1"/>
  <c r="G7" i="1"/>
</calcChain>
</file>

<file path=xl/sharedStrings.xml><?xml version="1.0" encoding="utf-8"?>
<sst xmlns="http://schemas.openxmlformats.org/spreadsheetml/2006/main" count="4578" uniqueCount="905">
  <si>
    <t>dimarts, 11 novembre de 2025 ... dilluns, 17 novembre de 2025</t>
  </si>
  <si>
    <t>#</t>
  </si>
  <si>
    <t>Avena</t>
  </si>
  <si>
    <t>Unit</t>
  </si>
  <si>
    <t>ID</t>
  </si>
  <si>
    <t>Note</t>
  </si>
  <si>
    <t>Product</t>
  </si>
  <si>
    <t>H</t>
  </si>
  <si>
    <t>PB</t>
  </si>
  <si>
    <t>GB</t>
  </si>
  <si>
    <t>FB</t>
  </si>
  <si>
    <t>Cz</t>
  </si>
  <si>
    <t>ALM</t>
  </si>
  <si>
    <t>MahalanobisH</t>
  </si>
  <si>
    <t>MahalanobisPB</t>
  </si>
  <si>
    <t>MahalanobisGB</t>
  </si>
  <si>
    <t>MahalanobisFB</t>
  </si>
  <si>
    <t>MahalanobisCz</t>
  </si>
  <si>
    <t>MahalanobisALM</t>
  </si>
  <si>
    <t>Speed</t>
  </si>
  <si>
    <t>Begin</t>
  </si>
  <si>
    <t>End</t>
  </si>
  <si>
    <t>Length</t>
  </si>
  <si>
    <t>#2025-11-11 09:18:45 223FG009</t>
  </si>
  <si>
    <t>223FG009</t>
  </si>
  <si>
    <t>WSTD-NLB</t>
  </si>
  <si>
    <t/>
  </si>
  <si>
    <t>&lt;6.00</t>
  </si>
  <si>
    <t>&gt;14.00</t>
  </si>
  <si>
    <t>&lt;2.00</t>
  </si>
  <si>
    <t>&lt;1.00</t>
  </si>
  <si>
    <t>&lt;25.00</t>
  </si>
  <si>
    <t>&gt;13.0</t>
  </si>
  <si>
    <t>&gt;14.0</t>
  </si>
  <si>
    <t>&gt;8.0</t>
  </si>
  <si>
    <t>&gt;16.0</t>
  </si>
  <si>
    <t>&gt;4.0</t>
  </si>
  <si>
    <t>&gt;45.0</t>
  </si>
  <si>
    <t>#2025-11-11 09:25:53 223FG009</t>
  </si>
  <si>
    <t>#2025-11-11 09:30:31 223FG009</t>
  </si>
  <si>
    <t>&gt;8.00</t>
  </si>
  <si>
    <t>&gt;45.00</t>
  </si>
  <si>
    <t>Average</t>
  </si>
  <si>
    <t>Min</t>
  </si>
  <si>
    <t>Max</t>
  </si>
  <si>
    <t>Std.Dev.</t>
  </si>
  <si>
    <t>Target</t>
  </si>
  <si>
    <t>0</t>
  </si>
  <si>
    <t>Alfalfa</t>
  </si>
  <si>
    <t>FND</t>
  </si>
  <si>
    <t>FAD</t>
  </si>
  <si>
    <t>MahalanobisFAD</t>
  </si>
  <si>
    <t>MahalanobisFND</t>
  </si>
  <si>
    <t>#2025-11-11 09:36:49 223FG009</t>
  </si>
  <si>
    <t>&lt;0.0</t>
  </si>
  <si>
    <t>#2025-11-11 09:40:31 223FG009</t>
  </si>
  <si>
    <t>S01</t>
  </si>
  <si>
    <t>#2025-11-11 09:40:59 223FG009</t>
  </si>
  <si>
    <t>S02</t>
  </si>
  <si>
    <t>&gt;56.0</t>
  </si>
  <si>
    <t>#2025-11-11 09:42:51 223FG009</t>
  </si>
  <si>
    <t>S03</t>
  </si>
  <si>
    <t>#2025-11-11 09:43:17 223FG009</t>
  </si>
  <si>
    <t>S04</t>
  </si>
  <si>
    <t>#2025-11-11 09:43:40 223FG009</t>
  </si>
  <si>
    <t>S05</t>
  </si>
  <si>
    <t>#2025-11-11 09:44:06 223FG009</t>
  </si>
  <si>
    <t>S06</t>
  </si>
  <si>
    <t>&gt;40.0</t>
  </si>
  <si>
    <t>#2025-11-11 09:44:29 223FG009</t>
  </si>
  <si>
    <t>S07</t>
  </si>
  <si>
    <t>#2025-11-11 09:44:56 223FG009</t>
  </si>
  <si>
    <t>S08</t>
  </si>
  <si>
    <t>#2025-11-11 09:45:20 223FG009</t>
  </si>
  <si>
    <t>S09</t>
  </si>
  <si>
    <t>#2025-11-11 09:45:53 223FG009</t>
  </si>
  <si>
    <t>S10</t>
  </si>
  <si>
    <t>#2025-11-11 09:46:18 223FG009</t>
  </si>
  <si>
    <t>S11</t>
  </si>
  <si>
    <t>#2025-11-11 09:46:44 223FG009</t>
  </si>
  <si>
    <t>S12</t>
  </si>
  <si>
    <t>#2025-11-11 09:47:06 223FG009</t>
  </si>
  <si>
    <t>S13</t>
  </si>
  <si>
    <t>#2025-11-11 09:47:31 223FG009</t>
  </si>
  <si>
    <t>S14</t>
  </si>
  <si>
    <t>#2025-11-11 09:47:53 223FG009</t>
  </si>
  <si>
    <t>S15</t>
  </si>
  <si>
    <t>#2025-11-11 09:48:20 223FG009</t>
  </si>
  <si>
    <t>S16</t>
  </si>
  <si>
    <t>#2025-11-11 09:48:51 223FG009</t>
  </si>
  <si>
    <t>S17</t>
  </si>
  <si>
    <t>#2025-11-11 09:49:14 223FG009</t>
  </si>
  <si>
    <t>S18</t>
  </si>
  <si>
    <t>#2025-11-11 09:49:38 223FG009</t>
  </si>
  <si>
    <t>S19</t>
  </si>
  <si>
    <t>#2025-11-11 09:49:59 223FG009</t>
  </si>
  <si>
    <t>S20</t>
  </si>
  <si>
    <t>#2025-11-11 09:50:25 223FG009</t>
  </si>
  <si>
    <t>S21</t>
  </si>
  <si>
    <t>#2025-11-11 09:51:09 223FG009</t>
  </si>
  <si>
    <t>V01</t>
  </si>
  <si>
    <t>#2025-11-11 09:51:31 223FG009</t>
  </si>
  <si>
    <t>V02</t>
  </si>
  <si>
    <t>#2025-11-11 09:51:52 223FG009</t>
  </si>
  <si>
    <t>V03</t>
  </si>
  <si>
    <t>#2025-11-11 09:52:13 223FG009</t>
  </si>
  <si>
    <t>V04</t>
  </si>
  <si>
    <t>#2025-11-11 09:52:35 223FG009</t>
  </si>
  <si>
    <t>V05</t>
  </si>
  <si>
    <t>#2025-11-11 10:15:43 223FG009</t>
  </si>
  <si>
    <t>LB</t>
  </si>
  <si>
    <t>#2025-11-11 10:18:33 223FG009</t>
  </si>
  <si>
    <t>#2025-11-11 10:18:59 223FG009</t>
  </si>
  <si>
    <t>#2025-11-11 10:19:22 223FG009</t>
  </si>
  <si>
    <t>#2025-11-11 10:19:46 223FG009</t>
  </si>
  <si>
    <t>#2025-11-11 10:20:08 223FG009</t>
  </si>
  <si>
    <t>#2025-11-11 10:20:34 223FG009</t>
  </si>
  <si>
    <t>#2025-11-11 10:20:56 223FG009</t>
  </si>
  <si>
    <t>#2025-11-11 10:21:18 223FG009</t>
  </si>
  <si>
    <t>#2025-11-11 10:21:40 223FG009</t>
  </si>
  <si>
    <t>#2025-11-11 10:22:03 223FG009</t>
  </si>
  <si>
    <t>#2025-11-11 10:22:26 223FG009</t>
  </si>
  <si>
    <t>#2025-11-11 10:22:47 223FG009</t>
  </si>
  <si>
    <t>#2025-11-11 10:23:11 223FG009</t>
  </si>
  <si>
    <t>#2025-11-11 10:23:38 223FG009</t>
  </si>
  <si>
    <t>#2025-11-11 10:24:08 223FG009</t>
  </si>
  <si>
    <t>#2025-11-11 10:24:30 223FG009</t>
  </si>
  <si>
    <t>#2025-11-11 10:24:54 223FG009</t>
  </si>
  <si>
    <t>#2025-11-11 10:25:17 223FG009</t>
  </si>
  <si>
    <t>#2025-11-11 10:25:40 223FG009</t>
  </si>
  <si>
    <t>#2025-11-11 10:26:03 223FG009</t>
  </si>
  <si>
    <t>#2025-11-11 10:26:28 223FG009</t>
  </si>
  <si>
    <t>#2025-11-11 10:26:50 223FG009</t>
  </si>
  <si>
    <t>#2025-11-11 10:27:12 223FG009</t>
  </si>
  <si>
    <t>#2025-11-11 10:27:35 223FG009</t>
  </si>
  <si>
    <t>#2025-11-11 10:27:56 223FG009</t>
  </si>
  <si>
    <t>#2025-11-11 12:19:33 24074007-67723003</t>
  </si>
  <si>
    <t>24074007-67723003</t>
  </si>
  <si>
    <t>#2025-11-11 12:20:37 24074007-67723003</t>
  </si>
  <si>
    <t>#2025-11-11 12:21:05 24074007-67723003</t>
  </si>
  <si>
    <t>#2025-11-11 12:21:31 24074007-67723003</t>
  </si>
  <si>
    <t>#2025-11-11 12:22:04 24074007-67723003</t>
  </si>
  <si>
    <t>#2025-11-11 12:22:31 24074007-67723003</t>
  </si>
  <si>
    <t>#2025-11-11 12:23:32 24074007-67723003</t>
  </si>
  <si>
    <t>#2025-11-11 12:24:00 24074007-67723003</t>
  </si>
  <si>
    <t>#2025-11-11 12:24:24 24074007-67723003</t>
  </si>
  <si>
    <t>#2025-11-11 12:24:52 24074007-67723003</t>
  </si>
  <si>
    <t>#2025-11-11 12:25:17 24074007-67723003</t>
  </si>
  <si>
    <t>#2025-11-11 12:25:42 24074007-67723003</t>
  </si>
  <si>
    <t>#2025-11-11 12:26:08 24074007-67723003</t>
  </si>
  <si>
    <t>#2025-11-11 12:26:35 24074007-67723003</t>
  </si>
  <si>
    <t>#2025-11-11 12:27:05 24074007-67723003</t>
  </si>
  <si>
    <t>#2025-11-11 12:27:33 24074007-67723003</t>
  </si>
  <si>
    <t>#2025-11-11 12:27:59 24074007-67723003</t>
  </si>
  <si>
    <t>#2025-11-11 12:28:26 24074007-67723003</t>
  </si>
  <si>
    <t>#2025-11-11 12:30:22 24074007-67723003</t>
  </si>
  <si>
    <t>#2025-11-11 12:30:56 24074007-67723003</t>
  </si>
  <si>
    <t>#2025-11-11 12:31:26 24074007-67723003</t>
  </si>
  <si>
    <t>#2025-11-11 12:32:05 24074007-67723003</t>
  </si>
  <si>
    <t>#2025-11-11 12:32:30 24074007-67723003</t>
  </si>
  <si>
    <t>#2025-11-11 12:32:54 24074007-67723003</t>
  </si>
  <si>
    <t>#2025-11-11 12:33:18 24074007-67723003</t>
  </si>
  <si>
    <t>#2025-11-11 12:33:42 24074007-67723003</t>
  </si>
  <si>
    <t>#2025-11-11 13:35:17 24074007-67723003</t>
  </si>
  <si>
    <t>#2025-11-11 13:35:55 24074007-67723003</t>
  </si>
  <si>
    <t>#2025-11-11 13:36:23 24074007-67723003</t>
  </si>
  <si>
    <t>#2025-11-11 13:36:52 24074007-67723003</t>
  </si>
  <si>
    <t>#2025-11-11 13:37:16 24074007-67723003</t>
  </si>
  <si>
    <t>#2025-11-11 13:37:43 24074007-67723003</t>
  </si>
  <si>
    <t>#2025-11-11 13:38:10 24074007-67723003</t>
  </si>
  <si>
    <t>#2025-11-11 13:38:37 24074007-67723003</t>
  </si>
  <si>
    <t>#2025-11-11 13:39:06 24074007-67723003</t>
  </si>
  <si>
    <t>#2025-11-11 13:39:32 24074007-67723003</t>
  </si>
  <si>
    <t>#2025-11-11 13:40:00 24074007-67723003</t>
  </si>
  <si>
    <t>#2025-11-11 13:40:24 24074007-67723003</t>
  </si>
  <si>
    <t>#2025-11-11 13:40:53 24074007-67723003</t>
  </si>
  <si>
    <t>#2025-11-11 13:41:18 24074007-67723003</t>
  </si>
  <si>
    <t>#2025-11-11 13:41:44 24074007-67723003</t>
  </si>
  <si>
    <t>#2025-11-11 13:42:10 24074007-67723003</t>
  </si>
  <si>
    <t>#2025-11-11 13:42:34 24074007-67723003</t>
  </si>
  <si>
    <t>#2025-11-11 13:43:06 24074007-67723003</t>
  </si>
  <si>
    <t>#2025-11-11 13:43:31 24074007-67723003</t>
  </si>
  <si>
    <t>#2025-11-11 13:43:55 24074007-67723003</t>
  </si>
  <si>
    <t>#2025-11-11 13:44:20 24074007-67723003</t>
  </si>
  <si>
    <t>#2025-11-11 13:44:57 24074007-67723003</t>
  </si>
  <si>
    <t>#2025-11-11 13:45:24 24074007-67723003</t>
  </si>
  <si>
    <t>#2025-11-11 13:45:47 24074007-67723003</t>
  </si>
  <si>
    <t>#2025-11-11 13:46:14 24074007-67723003</t>
  </si>
  <si>
    <t>#2025-11-11 13:46:38 24074007-67723003</t>
  </si>
  <si>
    <t>#2025-11-11 14:17:18 223FG009</t>
  </si>
  <si>
    <t>#2025-11-11 14:18:00 223FG009</t>
  </si>
  <si>
    <t>#2025-11-11 14:18:23 223FG009</t>
  </si>
  <si>
    <t>#2025-11-11 14:18:45 223FG009</t>
  </si>
  <si>
    <t>#2025-11-11 14:19:06 223FG009</t>
  </si>
  <si>
    <t>#2025-11-11 14:19:34 223FG009</t>
  </si>
  <si>
    <t>#2025-11-11 14:19:57 223FG009</t>
  </si>
  <si>
    <t>#2025-11-11 14:20:17 223FG009</t>
  </si>
  <si>
    <t>#2025-11-11 14:20:39 223FG009</t>
  </si>
  <si>
    <t>#2025-11-11 14:20:58 223FG009</t>
  </si>
  <si>
    <t>#2025-11-11 14:21:18 223FG009</t>
  </si>
  <si>
    <t>#2025-11-11 14:21:40 223FG009</t>
  </si>
  <si>
    <t>#2025-11-11 14:21:59 223FG009</t>
  </si>
  <si>
    <t>#2025-11-11 14:22:18 223FG009</t>
  </si>
  <si>
    <t>#2025-11-11 14:22:36 223FG009</t>
  </si>
  <si>
    <t>#2025-11-11 14:22:57 223FG009</t>
  </si>
  <si>
    <t>#2025-11-11 14:23:17 223FG009</t>
  </si>
  <si>
    <t>#2025-11-11 14:23:39 223FG009</t>
  </si>
  <si>
    <t>#2025-11-11 14:24:00 223FG009</t>
  </si>
  <si>
    <t>#2025-11-11 14:24:22 223FG009</t>
  </si>
  <si>
    <t>#2025-11-11 14:24:42 223FG009</t>
  </si>
  <si>
    <t>#2025-11-11 14:25:03 223FG009</t>
  </si>
  <si>
    <t>#2025-11-11 14:25:22 223FG009</t>
  </si>
  <si>
    <t>#2025-11-11 14:25:40 223FG009</t>
  </si>
  <si>
    <t>#2025-11-11 14:26:00 223FG009</t>
  </si>
  <si>
    <t>#2025-11-11 14:26:19 223FG009</t>
  </si>
  <si>
    <t>#2025-11-11 16:11:26 223FG009</t>
  </si>
  <si>
    <t>#2025-11-11 16:12:01 223FG009</t>
  </si>
  <si>
    <t>#2025-11-11 16:12:30 223FG009</t>
  </si>
  <si>
    <t>#2025-11-11 16:12:51 223FG009</t>
  </si>
  <si>
    <t>#2025-11-11 16:13:12 223FG009</t>
  </si>
  <si>
    <t>#2025-11-11 16:13:35 223FG009</t>
  </si>
  <si>
    <t>#2025-11-11 16:13:57 223FG009</t>
  </si>
  <si>
    <t>#2025-11-11 16:14:18 223FG009</t>
  </si>
  <si>
    <t>#2025-11-11 16:14:38 223FG009</t>
  </si>
  <si>
    <t>#2025-11-11 16:14:59 223FG009</t>
  </si>
  <si>
    <t>#2025-11-11 16:15:18 223FG009</t>
  </si>
  <si>
    <t>Outlier (18)</t>
  </si>
  <si>
    <t>Outlier (13)</t>
  </si>
  <si>
    <t>#2025-11-11 16:15:41 223FG009</t>
  </si>
  <si>
    <t>#2025-11-11 16:16:01 223FG009</t>
  </si>
  <si>
    <t>#2025-11-11 16:16:22 223FG009</t>
  </si>
  <si>
    <t>#2025-11-11 16:16:47 223FG009</t>
  </si>
  <si>
    <t>#2025-11-11 16:17:08 223FG009</t>
  </si>
  <si>
    <t>#2025-11-11 16:17:32 223FG009</t>
  </si>
  <si>
    <t>#2025-11-11 16:17:51 223FG009</t>
  </si>
  <si>
    <t>#2025-11-11 16:18:11 223FG009</t>
  </si>
  <si>
    <t>#2025-11-11 16:18:30 223FG009</t>
  </si>
  <si>
    <t>#2025-11-11 16:18:53 223FG009</t>
  </si>
  <si>
    <t>#2025-11-11 16:19:13 223FG009</t>
  </si>
  <si>
    <t>#2025-11-11 16:19:36 223FG009</t>
  </si>
  <si>
    <t>#2025-11-11 16:19:56 223FG009</t>
  </si>
  <si>
    <t>#2025-11-11 16:20:17 223FG009</t>
  </si>
  <si>
    <t>#2025-11-11 16:20:37 223FG009</t>
  </si>
  <si>
    <t>#2025-11-11 16:26:41 223FG009</t>
  </si>
  <si>
    <t>LBA</t>
  </si>
  <si>
    <t>#2025-11-11 16:27:17 223FG009</t>
  </si>
  <si>
    <t>#2025-11-11 16:27:37 223FG009</t>
  </si>
  <si>
    <t>#2025-11-11 16:27:58 223FG009</t>
  </si>
  <si>
    <t>#2025-11-11 16:28:20 223FG009</t>
  </si>
  <si>
    <t>#2025-11-12 09:08:00 223FG009</t>
  </si>
  <si>
    <t>LB-2</t>
  </si>
  <si>
    <t>#2025-11-12 09:08:31 223FG009</t>
  </si>
  <si>
    <t>&lt;0.00</t>
  </si>
  <si>
    <t>&gt;99.0</t>
  </si>
  <si>
    <t>&gt;100.0</t>
  </si>
  <si>
    <t>&gt;60.0</t>
  </si>
  <si>
    <t>#2025-11-12 09:08:53 223FG009</t>
  </si>
  <si>
    <t>#2025-11-12 09:09:13 223FG009</t>
  </si>
  <si>
    <t>#2025-11-12 09:09:32 223FG009</t>
  </si>
  <si>
    <t>#2025-11-12 09:09:52 223FG009</t>
  </si>
  <si>
    <t>#2025-11-12 09:10:15 223FG009</t>
  </si>
  <si>
    <t>#2025-11-12 09:10:34 223FG009</t>
  </si>
  <si>
    <t>Outlier (54)</t>
  </si>
  <si>
    <t>Outlier (136)</t>
  </si>
  <si>
    <t>Outlier (23)</t>
  </si>
  <si>
    <t>Outlier (73)</t>
  </si>
  <si>
    <t>Outlier (74)</t>
  </si>
  <si>
    <t>#2025-11-12 09:10:58 223FG009</t>
  </si>
  <si>
    <t>#2025-11-12 09:11:18 223FG009</t>
  </si>
  <si>
    <t>#2025-11-12 09:11:39 223FG009</t>
  </si>
  <si>
    <t>#2025-11-12 09:12:00 223FG009</t>
  </si>
  <si>
    <t>#2025-11-12 09:12:20 223FG009</t>
  </si>
  <si>
    <t>#2025-11-12 09:12:40 223FG009</t>
  </si>
  <si>
    <t>#2025-11-12 09:12:57 223FG009</t>
  </si>
  <si>
    <t>#2025-11-12 09:13:18 223FG009</t>
  </si>
  <si>
    <t>#2025-11-12 09:13:39 223FG009</t>
  </si>
  <si>
    <t>#2025-11-12 09:14:05 223FG009</t>
  </si>
  <si>
    <t>#2025-11-12 09:14:28 223FG009</t>
  </si>
  <si>
    <t>#2025-11-12 09:14:49 223FG009</t>
  </si>
  <si>
    <t>#2025-11-12 09:15:09 223FG009</t>
  </si>
  <si>
    <t>#2025-11-12 09:15:29 223FG009</t>
  </si>
  <si>
    <t>#2025-11-12 09:15:49 223FG009</t>
  </si>
  <si>
    <t>#2025-11-12 09:16:09 223FG009</t>
  </si>
  <si>
    <t>#2025-11-12 09:16:29 223FG009</t>
  </si>
  <si>
    <t>#2025-11-12 09:16:50 223FG009</t>
  </si>
  <si>
    <t>#2025-11-12 09:37:38 223FG009</t>
  </si>
  <si>
    <t>LBA2</t>
  </si>
  <si>
    <t>#2025-11-12 09:38:29 223FG009</t>
  </si>
  <si>
    <t>#2025-11-12 09:38:49 223FG009</t>
  </si>
  <si>
    <t>#2025-11-12 09:39:13 223FG009</t>
  </si>
  <si>
    <t>#2025-11-12 09:39:41 223FG009</t>
  </si>
  <si>
    <t>#2025-11-12 10:00:17 223FG009</t>
  </si>
  <si>
    <t>#2025-11-12 10:00:44 223FG009</t>
  </si>
  <si>
    <t>#2025-11-12 10:01:07 223FG009</t>
  </si>
  <si>
    <t>#2025-11-12 10:01:26 223FG009</t>
  </si>
  <si>
    <t>#2025-11-12 10:01:48 223FG009</t>
  </si>
  <si>
    <t>#2025-11-12 10:30:14 223FG009</t>
  </si>
  <si>
    <t>LBF3</t>
  </si>
  <si>
    <t>#2025-11-12 10:30:54 223FG009</t>
  </si>
  <si>
    <t>#2025-11-12 10:31:14 223FG009</t>
  </si>
  <si>
    <t>#2025-11-12 10:31:40 223FG009</t>
  </si>
  <si>
    <t>#2025-11-12 10:32:03 223FG009</t>
  </si>
  <si>
    <t>#2025-11-12 10:54:59 223FG009</t>
  </si>
  <si>
    <t>#2025-11-12 10:55:41 223FG009</t>
  </si>
  <si>
    <t>#2025-11-12 10:56:03 223FG009</t>
  </si>
  <si>
    <t>#2025-11-12 10:56:21 223FG009</t>
  </si>
  <si>
    <t>#2025-11-12 10:56:40 223FG009</t>
  </si>
  <si>
    <t>Colza</t>
  </si>
  <si>
    <t>Grasa total</t>
  </si>
  <si>
    <t>MahalanobisGT</t>
  </si>
  <si>
    <t>#2025-11-11 09:56:27 223FG009</t>
  </si>
  <si>
    <t>COLZA</t>
  </si>
  <si>
    <t>#2025-11-11 10:09:04 223FG009</t>
  </si>
  <si>
    <t>COLZA S2</t>
  </si>
  <si>
    <t>#2025-11-11 10:09:47 223FG009</t>
  </si>
  <si>
    <t>COLZA S3</t>
  </si>
  <si>
    <t>#2025-11-11 10:13:06 223FG009</t>
  </si>
  <si>
    <t>WSTD</t>
  </si>
  <si>
    <t>&lt;0.2</t>
  </si>
  <si>
    <t>&gt;50.0</t>
  </si>
  <si>
    <t>&gt;80.0</t>
  </si>
  <si>
    <t>&gt;90.0</t>
  </si>
  <si>
    <t>#2025-11-11 10:13:20 223FG009</t>
  </si>
  <si>
    <t>#2025-11-11 10:30:24 223FG009</t>
  </si>
  <si>
    <t>COLZA S1</t>
  </si>
  <si>
    <t>#2025-11-11 10:31:18 223FG009</t>
  </si>
  <si>
    <t>#2025-11-11 10:31:57 223FG009</t>
  </si>
  <si>
    <t>#2025-11-11 12:41:24 24074007-67723003</t>
  </si>
  <si>
    <t>#2025-11-11 12:41:51 24074007-67723003</t>
  </si>
  <si>
    <t>#2025-11-11 12:42:15 24074007-67723003</t>
  </si>
  <si>
    <t>#2025-11-11 13:48:57 24074007-67723003</t>
  </si>
  <si>
    <t>#2025-11-11 13:49:40 24074007-67723003</t>
  </si>
  <si>
    <t>#2025-11-11 13:50:06 24074007-67723003</t>
  </si>
  <si>
    <t>#2025-11-11 14:29:05 223FG009</t>
  </si>
  <si>
    <t>#2025-11-11 14:29:26 223FG009</t>
  </si>
  <si>
    <t>#2025-11-11 14:29:48 223FG009</t>
  </si>
  <si>
    <t>#2025-11-11 16:23:18 223FG009</t>
  </si>
  <si>
    <t>#2025-11-11 16:23:47 223FG009</t>
  </si>
  <si>
    <t>#2025-11-11 16:30:54 223FG009</t>
  </si>
  <si>
    <t>#2025-11-11 16:31:22 223FG009</t>
  </si>
  <si>
    <t>#2025-11-12 09:20:01 223FG009</t>
  </si>
  <si>
    <t>#2025-11-12 09:20:23 223FG009</t>
  </si>
  <si>
    <t>#2025-11-12 09:44:29 223FG009</t>
  </si>
  <si>
    <t>#2025-11-12 09:44:50 223FG009</t>
  </si>
  <si>
    <t>#2025-11-12 12:23:07 223FG009</t>
  </si>
  <si>
    <t>LBF4</t>
  </si>
  <si>
    <t>#2025-11-12 12:23:32 223FG009</t>
  </si>
  <si>
    <t>#2025-11-12 12:26:04 223FG009</t>
  </si>
  <si>
    <t>NB1</t>
  </si>
  <si>
    <t>#2025-11-12 12:26:27 223FG009</t>
  </si>
  <si>
    <t>#2025-11-12 12:26:57 223FG009</t>
  </si>
  <si>
    <t>COLZAT</t>
  </si>
  <si>
    <t>#2025-11-13 11:43:17 223FG007</t>
  </si>
  <si>
    <t>223FG007</t>
  </si>
  <si>
    <t>L1 - NBL</t>
  </si>
  <si>
    <t>#2025-11-13 11:44:09 223FG007</t>
  </si>
  <si>
    <t>#2025-11-13 11:44:43 223FG007</t>
  </si>
  <si>
    <t>#2025-11-13 13:52:23 223FG007</t>
  </si>
  <si>
    <t>L1 - BL</t>
  </si>
  <si>
    <t>#2025-11-13 13:52:58 223FG007</t>
  </si>
  <si>
    <t>#2025-11-13 13:53:19 223FG007</t>
  </si>
  <si>
    <t>#2025-11-13 16:04:32 223FG012</t>
  </si>
  <si>
    <t>223FG012</t>
  </si>
  <si>
    <t>L1 - NB</t>
  </si>
  <si>
    <t>#2025-11-13 16:04:57 223FG012</t>
  </si>
  <si>
    <t>#2025-11-13 16:05:19 223FG012</t>
  </si>
  <si>
    <t>#2025-11-13 16:28:36 223FG012</t>
  </si>
  <si>
    <t>L1 - B</t>
  </si>
  <si>
    <t>#2025-11-13 16:28:55 223FG012</t>
  </si>
  <si>
    <t>#2025-11-13 16:29:14 223FG012</t>
  </si>
  <si>
    <t>#2025-11-14 12:18:38 223FG007</t>
  </si>
  <si>
    <t>L1 APM - LBFNB</t>
  </si>
  <si>
    <t>#2025-11-14 12:19:16 223FG007</t>
  </si>
  <si>
    <t>#2025-11-14 12:19:41 223FG007</t>
  </si>
  <si>
    <t>#2025-11-14 14:47:37 223FG007</t>
  </si>
  <si>
    <t>L1 APM - LB</t>
  </si>
  <si>
    <t>#2025-11-14 14:48:16 223FG007</t>
  </si>
  <si>
    <t>#2025-11-14 14:48:48 223FG007</t>
  </si>
  <si>
    <t>#2025-11-17 11:48:12 223FG007</t>
  </si>
  <si>
    <t>#2025-11-17 11:48:48 223FG007</t>
  </si>
  <si>
    <t>#2025-11-17 11:49:17 223FG007</t>
  </si>
  <si>
    <t>#2025-11-17 12:13:13 223FG007</t>
  </si>
  <si>
    <t>L1 APM - BLF</t>
  </si>
  <si>
    <t>#2025-11-17 12:13:35 223FG007</t>
  </si>
  <si>
    <t>#2025-11-17 12:13:56 223FG007</t>
  </si>
  <si>
    <t>#2025-11-17 12:48:12 223FG007</t>
  </si>
  <si>
    <t>L2 APM - BLFNB</t>
  </si>
  <si>
    <t>#2025-11-17 12:48:30 223FG007</t>
  </si>
  <si>
    <t>#2025-11-17 12:49:11 223FG007</t>
  </si>
  <si>
    <t>#2025-11-17 13:04:39 223FG007</t>
  </si>
  <si>
    <t>L2 APM - LB</t>
  </si>
  <si>
    <t>#2025-11-17 13:05:14 223FG007</t>
  </si>
  <si>
    <t>#2025-11-17 13:05:57 223FG007</t>
  </si>
  <si>
    <t>Cerdos</t>
  </si>
  <si>
    <t>Fosforo</t>
  </si>
  <si>
    <t>Calcio</t>
  </si>
  <si>
    <t>MahalanobisGrasa</t>
  </si>
  <si>
    <t>MahalanobisP</t>
  </si>
  <si>
    <t>MahalanobisCa</t>
  </si>
  <si>
    <t>#2025-11-11 09:57:09 223FG009</t>
  </si>
  <si>
    <t>PIENSO CERDOS</t>
  </si>
  <si>
    <t>#2025-11-11 10:07:43 223FG009</t>
  </si>
  <si>
    <t>PIENSO S2</t>
  </si>
  <si>
    <t>#2025-11-11 10:08:12 223FG009</t>
  </si>
  <si>
    <t>PIENSO S3</t>
  </si>
  <si>
    <t>#2025-11-11 10:37:23 223FG009</t>
  </si>
  <si>
    <t>PIENSO S1</t>
  </si>
  <si>
    <t>#2025-11-11 10:37:54 223FG009</t>
  </si>
  <si>
    <t>#2025-11-11 10:38:17 223FG009</t>
  </si>
  <si>
    <t>#2025-11-11 12:49:02 24074007-67723003</t>
  </si>
  <si>
    <t>#2025-11-11 12:51:14 24074007-67723003</t>
  </si>
  <si>
    <t>#2025-11-11 12:51:45 24074007-67723003</t>
  </si>
  <si>
    <t>#2025-11-11 13:53:35 24074007-67723003</t>
  </si>
  <si>
    <t>#2025-11-11 13:54:08 24074007-67723003</t>
  </si>
  <si>
    <t>#2025-11-11 13:54:31 24074007-67723003</t>
  </si>
  <si>
    <t>#2025-11-11 14:35:04 223FG009</t>
  </si>
  <si>
    <t>#2025-11-11 14:35:33 223FG009</t>
  </si>
  <si>
    <t>#2025-11-11 14:36:00 223FG009</t>
  </si>
  <si>
    <t>#2025-11-11 16:10:33 223FG009</t>
  </si>
  <si>
    <t>WSTD - LBF</t>
  </si>
  <si>
    <t>LBF</t>
  </si>
  <si>
    <t>&gt;20.0</t>
  </si>
  <si>
    <t>&gt;30.0</t>
  </si>
  <si>
    <t>#2025-11-11 16:24:06 223FG009</t>
  </si>
  <si>
    <t>PIENSO</t>
  </si>
  <si>
    <t>#2025-11-11 16:24:36 223FG009</t>
  </si>
  <si>
    <t>#2025-11-11 16:31:42 223FG009</t>
  </si>
  <si>
    <t>#2025-11-11 16:32:15 223FG009</t>
  </si>
  <si>
    <t>#2025-11-12 09:03:29 223FG009</t>
  </si>
  <si>
    <t>Outlier (8716)</t>
  </si>
  <si>
    <t>Outlier (27214)</t>
  </si>
  <si>
    <t>Outlier (11523)</t>
  </si>
  <si>
    <t>Outlier (9045)</t>
  </si>
  <si>
    <t>Outlier (4320)</t>
  </si>
  <si>
    <t>Outlier (11734)</t>
  </si>
  <si>
    <t>Outlier (15178)</t>
  </si>
  <si>
    <t>Outlier (14171)</t>
  </si>
  <si>
    <t>#2025-11-12 09:05:36 223FG009</t>
  </si>
  <si>
    <t>#2025-11-12 09:07:13 223FG009</t>
  </si>
  <si>
    <t>WSTD1</t>
  </si>
  <si>
    <t>medida WSTD despues de baseline</t>
  </si>
  <si>
    <t>#2025-11-12 09:20:52 223FG009</t>
  </si>
  <si>
    <t>#2025-11-12 09:21:20 223FG009</t>
  </si>
  <si>
    <t>#2025-11-12 09:45:19 223FG009</t>
  </si>
  <si>
    <t>#2025-11-12 09:45:45 223FG009</t>
  </si>
  <si>
    <t>#2025-11-12 10:10:54 223FG009</t>
  </si>
  <si>
    <t>#2025-11-12 10:11:36 223FG009</t>
  </si>
  <si>
    <t>#2025-11-12 10:37:50 223FG009</t>
  </si>
  <si>
    <t>#2025-11-12 10:38:13 223FG009</t>
  </si>
  <si>
    <t>#2025-11-12 10:45:00 223FG009</t>
  </si>
  <si>
    <t>WSTD-LB</t>
  </si>
  <si>
    <t>#2025-11-12 10:53:55 223FG009</t>
  </si>
  <si>
    <t>WSTD-LBFW</t>
  </si>
  <si>
    <t>LBFW</t>
  </si>
  <si>
    <t>#2025-11-12 11:00:32 223FG009</t>
  </si>
  <si>
    <t>#2025-11-12 11:01:17 223FG009</t>
  </si>
  <si>
    <t>#2025-11-12 11:43:51 223FG009</t>
  </si>
  <si>
    <t>LB1</t>
  </si>
  <si>
    <t>#2025-11-12 11:44:40 223FG009</t>
  </si>
  <si>
    <t>#2025-11-12 11:47:20 223FG009</t>
  </si>
  <si>
    <t>LB2</t>
  </si>
  <si>
    <t>#2025-11-12 11:47:46 223FG009</t>
  </si>
  <si>
    <t>#2025-11-12 11:59:26 223FG009</t>
  </si>
  <si>
    <t>#2025-11-12 11:59:55 223FG009</t>
  </si>
  <si>
    <t>#2025-11-12 12:00:21 223FG009</t>
  </si>
  <si>
    <t>#2025-11-12 12:06:54 223FG009</t>
  </si>
  <si>
    <t>WHITE</t>
  </si>
  <si>
    <t>#2025-11-12 12:10:13 223FG009</t>
  </si>
  <si>
    <t>LB2-FOR ADJUSTMENT</t>
  </si>
  <si>
    <t>#2025-11-12 12:15:31 223FG009</t>
  </si>
  <si>
    <t>#2025-11-12 12:17:22 223FG009</t>
  </si>
  <si>
    <t>#2025-11-12 12:17:45 223FG009</t>
  </si>
  <si>
    <t>#2025-11-12 12:18:35 223FG009</t>
  </si>
  <si>
    <t>#2025-11-12 16:02:33 223FG009</t>
  </si>
  <si>
    <t>LBF4-A</t>
  </si>
  <si>
    <t>#2025-11-12 16:03:15 223FG009</t>
  </si>
  <si>
    <t>#2025-11-13 13:29:56 223FG007</t>
  </si>
  <si>
    <t>#2025-11-13 13:30:34 223FG007</t>
  </si>
  <si>
    <t>#2025-11-13 13:30:56 223FG007</t>
  </si>
  <si>
    <t>#2025-11-13 13:55:02 223FG007</t>
  </si>
  <si>
    <t>#2025-11-13 13:55:32 223FG007</t>
  </si>
  <si>
    <t>#2025-11-13 13:55:55 223FG007</t>
  </si>
  <si>
    <t>#2025-11-13 16:10:46 223FG012</t>
  </si>
  <si>
    <t>#2025-11-13 16:11:18 223FG012</t>
  </si>
  <si>
    <t>#2025-11-13 16:11:40 223FG012</t>
  </si>
  <si>
    <t>#2025-11-13 16:31:01 223FG012</t>
  </si>
  <si>
    <t>#2025-11-13 16:31:41 223FG012</t>
  </si>
  <si>
    <t>#2025-11-13 16:32:03 223FG012</t>
  </si>
  <si>
    <t>#2025-11-14 11:45:58 223FG007</t>
  </si>
  <si>
    <t>#2025-11-14 12:26:03 223FG007</t>
  </si>
  <si>
    <t>#2025-11-14 12:27:00 223FG007</t>
  </si>
  <si>
    <t>#2025-11-14 12:28:48 223FG007</t>
  </si>
  <si>
    <t>#2025-11-14 14:43:20 223FG007</t>
  </si>
  <si>
    <t>#2025-11-14 14:43:50 223FG007</t>
  </si>
  <si>
    <t>#2025-11-14 14:44:13 223FG007</t>
  </si>
  <si>
    <t>#2025-11-17 11:49:55 223FG007</t>
  </si>
  <si>
    <t>#2025-11-17 11:50:28 223FG007</t>
  </si>
  <si>
    <t>#2025-11-17 11:50:52 223FG007</t>
  </si>
  <si>
    <t>#2025-11-17 12:08:54 223FG007</t>
  </si>
  <si>
    <t>#2025-11-17 12:09:32 223FG007</t>
  </si>
  <si>
    <t>#2025-11-17 12:09:53 223FG007</t>
  </si>
  <si>
    <t>#2025-11-17 12:33:53 223FG007</t>
  </si>
  <si>
    <t>L2 APM - NB</t>
  </si>
  <si>
    <t>#2025-11-17 12:34:40 223FG007</t>
  </si>
  <si>
    <t>#2025-11-17 12:35:06 223FG007</t>
  </si>
  <si>
    <t>#2025-11-17 12:50:35 223FG007</t>
  </si>
  <si>
    <t>#2025-11-17 12:51:12 223FG007</t>
  </si>
  <si>
    <t>#2025-11-17 12:51:36 223FG007</t>
  </si>
  <si>
    <t>#2025-11-17 13:07:01 223FG007</t>
  </si>
  <si>
    <t>#2025-11-17 13:07:32 223FG007</t>
  </si>
  <si>
    <t>#2025-11-17 13:08:00 223FG007</t>
  </si>
  <si>
    <t>Soja</t>
  </si>
  <si>
    <t>Grasa bruta</t>
  </si>
  <si>
    <t>#2025-11-11 09:57:55 223FG009</t>
  </si>
  <si>
    <t>SOJA</t>
  </si>
  <si>
    <t>#2025-11-11 10:04:23 223FG009</t>
  </si>
  <si>
    <t>SOJA S2</t>
  </si>
  <si>
    <t>#2025-11-11 10:05:01 223FG009</t>
  </si>
  <si>
    <t>SOJA S3</t>
  </si>
  <si>
    <t>Outlier (15)</t>
  </si>
  <si>
    <t>Outlier (9)</t>
  </si>
  <si>
    <t>Outlier (36)</t>
  </si>
  <si>
    <t>Outlier (11)</t>
  </si>
  <si>
    <t>#2025-11-11 10:38:45 223FG009</t>
  </si>
  <si>
    <t>SOJA S1</t>
  </si>
  <si>
    <t>#2025-11-11 10:39:22 223FG009</t>
  </si>
  <si>
    <t>#2025-11-11 10:39:49 223FG009</t>
  </si>
  <si>
    <t>#2025-11-11 13:15:26 24074007-67723003</t>
  </si>
  <si>
    <t>#2025-11-11 13:16:28 24074007-67723003</t>
  </si>
  <si>
    <t>#2025-11-11 13:16:52 24074007-67723003</t>
  </si>
  <si>
    <t>#2025-11-11 13:34:17 24074007-67723003</t>
  </si>
  <si>
    <t>#2025-11-11 13:54:59 24074007-67723003</t>
  </si>
  <si>
    <t>#2025-11-11 13:55:24 24074007-67723003</t>
  </si>
  <si>
    <t>#2025-11-11 13:55:52 24074007-67723003</t>
  </si>
  <si>
    <t>#2025-11-11 14:33:47 223FG009</t>
  </si>
  <si>
    <t>#2025-11-11 14:34:10 223FG009</t>
  </si>
  <si>
    <t>#2025-11-11 14:34:29 223FG009</t>
  </si>
  <si>
    <t>#2025-11-11 16:21:44 223FG009</t>
  </si>
  <si>
    <t>#2025-11-11 16:22:08 223FG009</t>
  </si>
  <si>
    <t>#2025-11-11 16:29:24 223FG009</t>
  </si>
  <si>
    <t>#2025-11-11 16:29:46 223FG009</t>
  </si>
  <si>
    <t>#2025-11-12 09:18:13 223FG009</t>
  </si>
  <si>
    <t>#2025-11-12 09:18:39 223FG009</t>
  </si>
  <si>
    <t>#2025-11-12 09:42:37 223FG009</t>
  </si>
  <si>
    <t>#2025-11-12 09:42:57 223FG009</t>
  </si>
  <si>
    <t>#2025-11-12 10:07:59 223FG009</t>
  </si>
  <si>
    <t>#2025-11-12 10:08:27 223FG009</t>
  </si>
  <si>
    <t>#2025-11-12 10:36:46 223FG009</t>
  </si>
  <si>
    <t>#2025-11-12 10:37:16 223FG009</t>
  </si>
  <si>
    <t>#2025-11-12 10:59:37 223FG009</t>
  </si>
  <si>
    <t>#2025-11-12 10:59:59 223FG009</t>
  </si>
  <si>
    <t>#2025-11-12 11:45:04 223FG009</t>
  </si>
  <si>
    <t>#2025-11-12 11:45:27 223FG009</t>
  </si>
  <si>
    <t>#2025-11-12 11:50:28 223FG009</t>
  </si>
  <si>
    <t>#2025-11-12 11:50:59 223FG009</t>
  </si>
  <si>
    <t>#2025-11-12 11:57:32 223FG009</t>
  </si>
  <si>
    <t>#2025-11-12 11:57:58 223FG009</t>
  </si>
  <si>
    <t>#2025-11-12 12:19:17 223FG009</t>
  </si>
  <si>
    <t>#2025-11-12 12:19:48 223FG009</t>
  </si>
  <si>
    <t>#2025-11-12 16:01:17 223FG009</t>
  </si>
  <si>
    <t>#2025-11-12 16:01:56 223FG009</t>
  </si>
  <si>
    <t>#2025-11-13 11:45:15 223FG007</t>
  </si>
  <si>
    <t>#2025-11-13 11:45:51 223FG007</t>
  </si>
  <si>
    <t>#2025-11-13 12:29:24 223FG007</t>
  </si>
  <si>
    <t>#2025-11-13 13:53:46 223FG007</t>
  </si>
  <si>
    <t>#2025-11-13 13:54:06 223FG007</t>
  </si>
  <si>
    <t>#2025-11-13 13:54:27 223FG007</t>
  </si>
  <si>
    <t>#2025-11-13 16:09:15 223FG012</t>
  </si>
  <si>
    <t>#2025-11-13 16:09:46 223FG012</t>
  </si>
  <si>
    <t>#2025-11-13 16:10:09 223FG012</t>
  </si>
  <si>
    <t>#2025-11-13 16:29:44 223FG012</t>
  </si>
  <si>
    <t>#2025-11-13 16:30:06 223FG012</t>
  </si>
  <si>
    <t>#2025-11-13 16:30:27 223FG012</t>
  </si>
  <si>
    <t>#2025-11-14 12:21:12 223FG007</t>
  </si>
  <si>
    <t>#2025-11-14 12:22:18 223FG007</t>
  </si>
  <si>
    <t>#2025-11-14 12:23:23 223FG007</t>
  </si>
  <si>
    <t>#2025-11-14 14:45:24 223FG007</t>
  </si>
  <si>
    <t>#2025-11-14 14:45:55 223FG007</t>
  </si>
  <si>
    <t>#2025-11-14 14:46:22 223FG007</t>
  </si>
  <si>
    <t>#2025-11-17 11:51:33 223FG007</t>
  </si>
  <si>
    <t>#2025-11-17 11:52:36 223FG007</t>
  </si>
  <si>
    <t>#2025-11-17 11:53:01 223FG007</t>
  </si>
  <si>
    <t>#2025-11-17 12:11:46 223FG007</t>
  </si>
  <si>
    <t>#2025-11-17 12:12:20 223FG007</t>
  </si>
  <si>
    <t>#2025-11-17 12:12:41 223FG007</t>
  </si>
  <si>
    <t>#2025-11-17 12:52:23 223FG007</t>
  </si>
  <si>
    <t>#2025-11-17 12:52:49 223FG007</t>
  </si>
  <si>
    <t>#2025-11-17 12:53:14 223FG007</t>
  </si>
  <si>
    <t>#2025-11-17 13:08:44 223FG007</t>
  </si>
  <si>
    <t>#2025-11-17 13:10:24 223FG007</t>
  </si>
  <si>
    <t>#2025-11-17 13:10:53 223FG007</t>
  </si>
  <si>
    <t>Maiz</t>
  </si>
  <si>
    <t>Aw</t>
  </si>
  <si>
    <t>MahalanobisAw</t>
  </si>
  <si>
    <t>#2025-11-11 09:58:47 223FG009</t>
  </si>
  <si>
    <t>MAIZ</t>
  </si>
  <si>
    <t>#2025-11-11 10:06:41 223FG009</t>
  </si>
  <si>
    <t>MAIZ S2</t>
  </si>
  <si>
    <t>#2025-11-11 10:07:16 223FG009</t>
  </si>
  <si>
    <t>MAIZ S3</t>
  </si>
  <si>
    <t>#2025-11-11 10:34:24 223FG009</t>
  </si>
  <si>
    <t>MAIZ S1</t>
  </si>
  <si>
    <t>#2025-11-11 10:34:55 223FG009</t>
  </si>
  <si>
    <t>#2025-11-11 10:35:21 223FG009</t>
  </si>
  <si>
    <t>#2025-11-11 12:43:00 24074007-67723003</t>
  </si>
  <si>
    <t>#2025-11-11 12:43:24 24074007-67723003</t>
  </si>
  <si>
    <t>#2025-11-11 12:43:48 24074007-67723003</t>
  </si>
  <si>
    <t>#2025-11-11 13:50:45 24074007-67723003</t>
  </si>
  <si>
    <t>#2025-11-11 13:51:11 24074007-67723003</t>
  </si>
  <si>
    <t>#2025-11-11 13:51:34 24074007-67723003</t>
  </si>
  <si>
    <t>#2025-11-11 14:30:34 223FG009</t>
  </si>
  <si>
    <t>#2025-11-11 14:30:55 223FG009</t>
  </si>
  <si>
    <t>#2025-11-11 14:31:15 223FG009</t>
  </si>
  <si>
    <t>#2025-11-11 16:20:58 223FG009</t>
  </si>
  <si>
    <t>#2025-11-11 16:21:27 223FG009</t>
  </si>
  <si>
    <t>#2025-11-11 16:28:42 223FG009</t>
  </si>
  <si>
    <t>#2025-11-11 16:29:04 223FG009</t>
  </si>
  <si>
    <t>#2025-11-12 09:17:25 223FG009</t>
  </si>
  <si>
    <t>#2025-11-12 09:17:50 223FG009</t>
  </si>
  <si>
    <t>#2025-11-12 09:41:46 223FG009</t>
  </si>
  <si>
    <t>#2025-11-12 09:42:08 223FG009</t>
  </si>
  <si>
    <t>#2025-11-12 10:08:55 223FG009</t>
  </si>
  <si>
    <t>#2025-11-12 10:09:20 223FG009</t>
  </si>
  <si>
    <t>#2025-11-12 12:22:09 223FG009</t>
  </si>
  <si>
    <t>#2025-11-12 12:22:41 223FG009</t>
  </si>
  <si>
    <t>#2025-11-12 12:27:38 223FG009</t>
  </si>
  <si>
    <t>#2025-11-12 12:28:13 223FG009</t>
  </si>
  <si>
    <t>#2025-11-12 12:28:40 223FG009</t>
  </si>
  <si>
    <t>MAIZT</t>
  </si>
  <si>
    <t>#2025-11-12 13:15:22 223FG009</t>
  </si>
  <si>
    <t>#2025-11-12 15:39:48 223FG009</t>
  </si>
  <si>
    <t>&lt;0.000</t>
  </si>
  <si>
    <t>&gt;88.0</t>
  </si>
  <si>
    <t>#2025-11-12 15:40:34 223FG009</t>
  </si>
  <si>
    <t>#2025-11-12 15:41:19 223FG009</t>
  </si>
  <si>
    <t>#2025-11-12 15:41:46 223FG009</t>
  </si>
  <si>
    <t>#2025-11-12 15:42:19 223FG009</t>
  </si>
  <si>
    <t>#2025-11-12 15:42:48 223FG009</t>
  </si>
  <si>
    <t>#2025-11-12 15:45:22 223FG009</t>
  </si>
  <si>
    <t>#2025-11-12 15:45:47 223FG009</t>
  </si>
  <si>
    <t>#2025-11-12 15:46:18 223FG009</t>
  </si>
  <si>
    <t>#2025-11-12 15:46:45 223FG009</t>
  </si>
  <si>
    <t>#2025-11-12 15:47:13 223FG009</t>
  </si>
  <si>
    <t>#2025-11-12 15:47:43 223FG009</t>
  </si>
  <si>
    <t>#2025-11-12 15:59:09 223FG009</t>
  </si>
  <si>
    <t>LB4F-A</t>
  </si>
  <si>
    <t>#2025-11-12 16:00:19 223FG009</t>
  </si>
  <si>
    <t>#2025-11-12 16:00:51 223FG009</t>
  </si>
  <si>
    <t>#2025-11-13 11:41:33 223FG007</t>
  </si>
  <si>
    <t>#2025-11-13 11:42:09 223FG007</t>
  </si>
  <si>
    <t>#2025-11-13 11:42:40 223FG007</t>
  </si>
  <si>
    <t>#2025-11-13 13:51:03 223FG007</t>
  </si>
  <si>
    <t>#2025-11-13 13:51:27 223FG007</t>
  </si>
  <si>
    <t>#2025-11-13 13:51:47 223FG007</t>
  </si>
  <si>
    <t>#2025-11-13 16:06:25 223FG012</t>
  </si>
  <si>
    <t>#2025-11-13 16:06:54 223FG012</t>
  </si>
  <si>
    <t>#2025-11-13 16:07:11 223FG012</t>
  </si>
  <si>
    <t>#2025-11-13 16:34:13 223FG012</t>
  </si>
  <si>
    <t>#2025-11-13 16:34:32 223FG012</t>
  </si>
  <si>
    <t>#2025-11-13 16:34:56 223FG012</t>
  </si>
  <si>
    <t>#2025-11-14 12:34:26 223FG007</t>
  </si>
  <si>
    <t>#2025-11-14 12:35:19 223FG007</t>
  </si>
  <si>
    <t>#2025-11-14 12:35:48 223FG007</t>
  </si>
  <si>
    <t>#2025-11-14 14:41:45 223FG007</t>
  </si>
  <si>
    <t>L1 APM -LB</t>
  </si>
  <si>
    <t>#2025-11-14 14:42:12 223FG007</t>
  </si>
  <si>
    <t>#2025-11-14 14:42:37 223FG007</t>
  </si>
  <si>
    <t>#2025-11-17 11:55:14 223FG007</t>
  </si>
  <si>
    <t>#2025-11-17 11:55:46 223FG007</t>
  </si>
  <si>
    <t>#2025-11-17 11:56:15 223FG007</t>
  </si>
  <si>
    <t>#2025-11-17 12:06:13 223FG007</t>
  </si>
  <si>
    <t>#2025-11-17 12:06:37 223FG007</t>
  </si>
  <si>
    <t>#2025-11-17 12:07:23 223FG007</t>
  </si>
  <si>
    <t>#2025-11-17 12:53:47 223FG007</t>
  </si>
  <si>
    <t>#2025-11-17 12:54:07 223FG007</t>
  </si>
  <si>
    <t>#2025-11-17 12:54:58 223FG007</t>
  </si>
  <si>
    <t>#2025-11-17 13:11:24 223FG007</t>
  </si>
  <si>
    <t>#2025-11-17 13:11:59 223FG007</t>
  </si>
  <si>
    <t>#2025-11-17 13:12:26 223FG007</t>
  </si>
  <si>
    <t>TrigoTriti</t>
  </si>
  <si>
    <t>#2025-11-11 09:59:42 223FG009</t>
  </si>
  <si>
    <t>TRIGO</t>
  </si>
  <si>
    <t>&gt;11.5</t>
  </si>
  <si>
    <t>#2025-11-11 10:03:23 223FG009</t>
  </si>
  <si>
    <t>TRIGO S2</t>
  </si>
  <si>
    <t>#2025-11-11 10:03:46 223FG009</t>
  </si>
  <si>
    <t>TRIGO S3</t>
  </si>
  <si>
    <t>#2025-11-11 10:35:50 223FG009</t>
  </si>
  <si>
    <t>TRIGO S1</t>
  </si>
  <si>
    <t>#2025-11-11 10:36:16 223FG009</t>
  </si>
  <si>
    <t>&gt;13.2</t>
  </si>
  <si>
    <t>#2025-11-11 10:36:46 223FG009</t>
  </si>
  <si>
    <t>#2025-11-11 12:44:43 24074007-67723003</t>
  </si>
  <si>
    <t>&gt;23.9</t>
  </si>
  <si>
    <t>#2025-11-11 12:45:06 24074007-67723003</t>
  </si>
  <si>
    <t>#2025-11-11 12:45:50 24074007-67723003</t>
  </si>
  <si>
    <t>#2025-11-11 13:52:12 24074007-67723003</t>
  </si>
  <si>
    <t>#2025-11-11 13:52:36 24074007-67723003</t>
  </si>
  <si>
    <t>#2025-11-11 13:52:59 24074007-67723003</t>
  </si>
  <si>
    <t>#2025-11-11 14:31:36 223FG009</t>
  </si>
  <si>
    <t>#2025-11-11 14:31:57 223FG009</t>
  </si>
  <si>
    <t>#2025-11-11 14:32:27 223FG009</t>
  </si>
  <si>
    <t>#2025-11-11 16:22:32 223FG009</t>
  </si>
  <si>
    <t>#2025-11-11 16:23:00 223FG009</t>
  </si>
  <si>
    <t>#2025-11-11 16:30:10 223FG009</t>
  </si>
  <si>
    <t>#2025-11-11 16:30:32 223FG009</t>
  </si>
  <si>
    <t>#2025-11-12 09:19:13 223FG009</t>
  </si>
  <si>
    <t>#2025-11-12 09:19:36 223FG009</t>
  </si>
  <si>
    <t>#2025-11-12 09:43:26 223FG009</t>
  </si>
  <si>
    <t>#2025-11-12 09:43:56 223FG009</t>
  </si>
  <si>
    <t>#2025-11-12 10:09:49 223FG009</t>
  </si>
  <si>
    <t>#2025-11-12 10:10:17 223FG009</t>
  </si>
  <si>
    <t>#2025-11-12 11:01:46 223FG009</t>
  </si>
  <si>
    <t>#2025-11-12 11:02:09 223FG009</t>
  </si>
  <si>
    <t>#2025-11-12 11:41:40 223FG009</t>
  </si>
  <si>
    <t>&gt;70.0</t>
  </si>
  <si>
    <t>#2025-11-12 11:43:00 223FG009</t>
  </si>
  <si>
    <t>#2025-11-12 11:43:24 223FG009</t>
  </si>
  <si>
    <t>#2025-11-12 11:49:33 223FG009</t>
  </si>
  <si>
    <t>#2025-11-12 11:49:55 223FG009</t>
  </si>
  <si>
    <t>#2025-11-12 11:58:29 223FG009</t>
  </si>
  <si>
    <t>#2025-11-12 11:58:54 223FG009</t>
  </si>
  <si>
    <t>#2025-11-12 12:20:38 223FG009</t>
  </si>
  <si>
    <t>#2025-11-12 12:21:12 223FG009</t>
  </si>
  <si>
    <t>#2025-11-12 16:03:52 223FG009</t>
  </si>
  <si>
    <t>#2025-11-12 16:04:52 223FG009</t>
  </si>
  <si>
    <t>#2025-11-12 16:06:43 223FG009</t>
  </si>
  <si>
    <t>#2025-11-12 16:07:12 223FG009</t>
  </si>
  <si>
    <t>#2025-11-12 16:07:30 223FG009</t>
  </si>
  <si>
    <t>#2025-11-12 16:07:58 223FG009</t>
  </si>
  <si>
    <t>#2025-11-12 16:08:23 223FG009</t>
  </si>
  <si>
    <t>#2025-11-13 13:31:18 223FG007</t>
  </si>
  <si>
    <t>#2025-11-13 13:31:57 223FG007</t>
  </si>
  <si>
    <t>#2025-11-13 13:32:16 223FG007</t>
  </si>
  <si>
    <t>#2025-11-13 13:49:43 223FG007</t>
  </si>
  <si>
    <t>#2025-11-13 13:50:11 223FG007</t>
  </si>
  <si>
    <t>#2025-11-13 13:50:32 223FG007</t>
  </si>
  <si>
    <t>#2025-11-13 16:07:52 223FG012</t>
  </si>
  <si>
    <t>#2025-11-13 16:08:14 223FG012</t>
  </si>
  <si>
    <t>#2025-11-13 16:08:49 223FG012</t>
  </si>
  <si>
    <t>#2025-11-13 16:32:29 223FG012</t>
  </si>
  <si>
    <t>#2025-11-13 16:33:02 223FG012</t>
  </si>
  <si>
    <t>#2025-11-13 16:33:26 223FG012</t>
  </si>
  <si>
    <t>#2025-11-14 12:02:05 223FG007</t>
  </si>
  <si>
    <t>L1 APM - BLFNB</t>
  </si>
  <si>
    <t>#2025-11-14 12:15:09 223FG007</t>
  </si>
  <si>
    <t>#2025-11-14 12:16:58 223FG007</t>
  </si>
  <si>
    <t>#2025-11-14 12:17:32 223FG007</t>
  </si>
  <si>
    <t>#2025-11-14 14:50:04 223FG007</t>
  </si>
  <si>
    <t>#2025-11-14 14:50:28 223FG007</t>
  </si>
  <si>
    <t>#2025-11-14 14:50:54 223FG007</t>
  </si>
  <si>
    <t>#2025-11-17 11:53:26 223FG007</t>
  </si>
  <si>
    <t>#2025-11-17 11:53:58 223FG007</t>
  </si>
  <si>
    <t>#2025-11-17 11:54:37 223FG007</t>
  </si>
  <si>
    <t>#2025-11-17 12:10:16 223FG007</t>
  </si>
  <si>
    <t>#2025-11-17 12:10:53 223FG007</t>
  </si>
  <si>
    <t>#2025-11-17 12:11:26 223FG007</t>
  </si>
  <si>
    <t>#2025-11-17 12:57:29 223FG007</t>
  </si>
  <si>
    <t>#2025-11-17 12:57:48 223FG007</t>
  </si>
  <si>
    <t>#2025-11-17 12:58:08 223FG007</t>
  </si>
  <si>
    <t>#2025-11-17 13:12:46 223FG007</t>
  </si>
  <si>
    <t>#2025-11-17 13:13:24 223FG007</t>
  </si>
  <si>
    <t>#2025-11-17 13:13:49 223FG007</t>
  </si>
  <si>
    <t>Espectros</t>
  </si>
  <si>
    <t>Espectro</t>
  </si>
  <si>
    <t>#2025-11-13 11:14:25 223FG007</t>
  </si>
  <si>
    <t>-.---</t>
  </si>
  <si>
    <t>#2025-11-13 11:15:00 223FG007</t>
  </si>
  <si>
    <t>#2025-11-13 11:15:36 223FG007</t>
  </si>
  <si>
    <t>#2025-11-13 11:16:41 223FG007</t>
  </si>
  <si>
    <t>#2025-11-13 11:17:16 223FG007</t>
  </si>
  <si>
    <t>#2025-11-13 11:17:38 223FG007</t>
  </si>
  <si>
    <t>#2025-11-13 11:18:01 223FG007</t>
  </si>
  <si>
    <t>#2025-11-13 11:18:42 223FG007</t>
  </si>
  <si>
    <t>#2025-11-13 11:19:03 223FG007</t>
  </si>
  <si>
    <t>#2025-11-13 11:19:24 223FG007</t>
  </si>
  <si>
    <t>#2025-11-13 11:19:46 223FG007</t>
  </si>
  <si>
    <t>#2025-11-13 11:20:08 223FG007</t>
  </si>
  <si>
    <t>#2025-11-13 11:20:30 223FG007</t>
  </si>
  <si>
    <t>#2025-11-13 11:23:58 223FG007</t>
  </si>
  <si>
    <t>#2025-11-13 11:24:20 223FG007</t>
  </si>
  <si>
    <t>#2025-11-13 11:24:46 223FG007</t>
  </si>
  <si>
    <t>#2025-11-13 11:25:09 223FG007</t>
  </si>
  <si>
    <t>#2025-11-13 11:25:32 223FG007</t>
  </si>
  <si>
    <t>#2025-11-13 11:25:56 223FG007</t>
  </si>
  <si>
    <t>#2025-11-13 11:26:16 223FG007</t>
  </si>
  <si>
    <t>#2025-11-13 11:26:37 223FG007</t>
  </si>
  <si>
    <t>#2025-11-13 11:27:00 223FG007</t>
  </si>
  <si>
    <t>#2025-11-13 11:27:20 223FG007</t>
  </si>
  <si>
    <t>#2025-11-13 11:27:40 223FG007</t>
  </si>
  <si>
    <t>#2025-11-13 11:28:11 223FG007</t>
  </si>
  <si>
    <t>#2025-11-13 11:28:39 223FG007</t>
  </si>
  <si>
    <t>#2025-11-13 11:29:08 223FG007</t>
  </si>
  <si>
    <t>#2025-11-13 11:29:33 223FG007</t>
  </si>
  <si>
    <t>#2025-11-13 11:30:01 223FG007</t>
  </si>
  <si>
    <t>#2025-11-13 13:33:11 223FG007</t>
  </si>
  <si>
    <t>#2025-11-13 13:35:13 223FG007</t>
  </si>
  <si>
    <t>#2025-11-13 13:35:56 223FG007</t>
  </si>
  <si>
    <t>#2025-11-13 13:36:32 223FG007</t>
  </si>
  <si>
    <t>#2025-11-13 13:36:52 223FG007</t>
  </si>
  <si>
    <t>#2025-11-13 13:37:16 223FG007</t>
  </si>
  <si>
    <t>#2025-11-13 13:37:37 223FG007</t>
  </si>
  <si>
    <t>#2025-11-13 13:38:00 223FG007</t>
  </si>
  <si>
    <t>#2025-11-13 13:38:21 223FG007</t>
  </si>
  <si>
    <t>#2025-11-13 13:38:42 223FG007</t>
  </si>
  <si>
    <t>#2025-11-13 13:39:03 223FG007</t>
  </si>
  <si>
    <t>#2025-11-13 13:39:23 223FG007</t>
  </si>
  <si>
    <t>#2025-11-13 13:43:47 223FG007</t>
  </si>
  <si>
    <t>#2025-11-13 13:44:09 223FG007</t>
  </si>
  <si>
    <t>#2025-11-13 13:44:31 223FG007</t>
  </si>
  <si>
    <t>#2025-11-13 13:44:50 223FG007</t>
  </si>
  <si>
    <t>#2025-11-13 13:45:12 223FG007</t>
  </si>
  <si>
    <t>#2025-11-13 13:45:34 223FG007</t>
  </si>
  <si>
    <t>#2025-11-13 13:45:57 223FG007</t>
  </si>
  <si>
    <t>#2025-11-13 13:46:18 223FG007</t>
  </si>
  <si>
    <t>#2025-11-13 13:46:39 223FG007</t>
  </si>
  <si>
    <t>#2025-11-13 13:46:59 223FG007</t>
  </si>
  <si>
    <t>#2025-11-13 13:47:24 223FG007</t>
  </si>
  <si>
    <t>#2025-11-13 13:47:47 223FG007</t>
  </si>
  <si>
    <t>#2025-11-13 13:48:08 223FG007</t>
  </si>
  <si>
    <t>#2025-11-13 13:48:29 223FG007</t>
  </si>
  <si>
    <t>#2025-11-13 13:48:50 223FG007</t>
  </si>
  <si>
    <t>#2025-11-13 13:49:10 223FG007</t>
  </si>
  <si>
    <t>#2025-11-13 15:33:18 223FG012</t>
  </si>
  <si>
    <t>#2025-11-13 15:34:15 223FG012</t>
  </si>
  <si>
    <t>L1 -NB</t>
  </si>
  <si>
    <t>#2025-11-13 15:42:59 223FG012</t>
  </si>
  <si>
    <t>#2025-11-13 15:43:42 223FG012</t>
  </si>
  <si>
    <t>#2025-11-13 15:44:32 223FG012</t>
  </si>
  <si>
    <t>#2025-11-13 15:45:02 223FG012</t>
  </si>
  <si>
    <t>#2025-11-13 15:45:32 223FG012</t>
  </si>
  <si>
    <t>#2025-11-13 15:46:04 223FG012</t>
  </si>
  <si>
    <t>#2025-11-13 15:46:39 223FG012</t>
  </si>
  <si>
    <t>#2025-11-13 15:47:01 223FG012</t>
  </si>
  <si>
    <t>#2025-11-13 15:47:32 223FG012</t>
  </si>
  <si>
    <t>#2025-11-13 15:48:08 223FG012</t>
  </si>
  <si>
    <t>#2025-11-13 15:48:46 223FG012</t>
  </si>
  <si>
    <t>#2025-11-13 15:49:56 223FG012</t>
  </si>
  <si>
    <t>#2025-11-13 15:50:27 223FG012</t>
  </si>
  <si>
    <t>#2025-11-13 15:51:15 223FG012</t>
  </si>
  <si>
    <t>#2025-11-13 15:52:04 223FG012</t>
  </si>
  <si>
    <t>#2025-11-13 15:52:57 223FG012</t>
  </si>
  <si>
    <t>#2025-11-13 15:54:10 223FG012</t>
  </si>
  <si>
    <t>#2025-11-13 15:55:13 223FG012</t>
  </si>
  <si>
    <t>#2025-11-13 15:55:38 223FG012</t>
  </si>
  <si>
    <t>#2025-11-13 15:56:19 223FG012</t>
  </si>
  <si>
    <t>#2025-11-13 15:56:49 223FG012</t>
  </si>
  <si>
    <t>#2025-11-13 15:57:30 223FG012</t>
  </si>
  <si>
    <t>#2025-11-13 15:57:49 223FG012</t>
  </si>
  <si>
    <t>#2025-11-13 15:58:16 223FG012</t>
  </si>
  <si>
    <t>#2025-11-13 15:59:30 223FG012</t>
  </si>
  <si>
    <t>#2025-11-13 15:59:57 223FG012</t>
  </si>
  <si>
    <t>#2025-11-13 16:12:09 223FG012</t>
  </si>
  <si>
    <t>#2025-11-13 16:14:11 223FG012</t>
  </si>
  <si>
    <t>#2025-11-13 16:14:44 223FG012</t>
  </si>
  <si>
    <t>#2025-11-13 16:15:28 223FG012</t>
  </si>
  <si>
    <t>#2025-11-13 16:16:14 223FG012</t>
  </si>
  <si>
    <t>#2025-11-13 16:16:42 223FG012</t>
  </si>
  <si>
    <t>#2025-11-13 16:17:10 223FG012</t>
  </si>
  <si>
    <t>#2025-11-13 16:17:43 223FG012</t>
  </si>
  <si>
    <t>#2025-11-13 16:18:15 223FG012</t>
  </si>
  <si>
    <t>#2025-11-13 16:18:47 223FG012</t>
  </si>
  <si>
    <t>#2025-11-13 16:19:14 223FG012</t>
  </si>
  <si>
    <t>#2025-11-13 16:19:41 223FG012</t>
  </si>
  <si>
    <t>#2025-11-13 16:20:06 223FG012</t>
  </si>
  <si>
    <t>#2025-11-13 16:20:33 223FG012</t>
  </si>
  <si>
    <t>#2025-11-13 16:20:58 223FG012</t>
  </si>
  <si>
    <t>#2025-11-13 16:21:28 223FG012</t>
  </si>
  <si>
    <t>#2025-11-13 16:22:14 223FG012</t>
  </si>
  <si>
    <t>#2025-11-13 16:22:55 223FG012</t>
  </si>
  <si>
    <t>#2025-11-13 16:23:21 223FG012</t>
  </si>
  <si>
    <t>#2025-11-13 16:23:48 223FG012</t>
  </si>
  <si>
    <t>#2025-11-13 16:24:16 223FG012</t>
  </si>
  <si>
    <t>#2025-11-13 16:24:43 223FG012</t>
  </si>
  <si>
    <t>#2025-11-13 16:25:12 223FG012</t>
  </si>
  <si>
    <t>#2025-11-13 16:25:40 223FG012</t>
  </si>
  <si>
    <t>#2025-11-13 16:26:17 223FG012</t>
  </si>
  <si>
    <t>#2025-11-13 16:26:46 223FG012</t>
  </si>
  <si>
    <t>#2025-11-13 16:27:14 223FG012</t>
  </si>
  <si>
    <t>#2025-11-13 16:27:59 223FG012</t>
  </si>
  <si>
    <t>#2025-11-14 11:47:06 223FG007</t>
  </si>
  <si>
    <t>L1 APM - NB</t>
  </si>
  <si>
    <t>#2025-11-14 11:48:19 223FG007</t>
  </si>
  <si>
    <t>L1 APM -NB</t>
  </si>
  <si>
    <t>#2025-11-14 11:54:45 223FG007</t>
  </si>
  <si>
    <t>L1 APM - BL</t>
  </si>
  <si>
    <t>#2025-11-14 12:14:14 223FG007</t>
  </si>
  <si>
    <t>L1 APM -BLFNB</t>
  </si>
  <si>
    <t>#2025-11-14 14:39:05 223FG007</t>
  </si>
  <si>
    <t>#2025-11-14 14:44:51 223FG007</t>
  </si>
  <si>
    <t>#2025-11-17 11:42:47 223FG007</t>
  </si>
  <si>
    <t>L1 APM - LBF</t>
  </si>
  <si>
    <t>#2025-11-17 11:46:00 223FG007</t>
  </si>
  <si>
    <t>#2025-11-17 11:47:12 223FG007</t>
  </si>
  <si>
    <t>#2025-11-17 11:59:40 223FG007</t>
  </si>
  <si>
    <t>#2025-11-17 12:00:22 223FG007</t>
  </si>
  <si>
    <t>#2025-11-17 12:00:48 223FG007</t>
  </si>
  <si>
    <t>#2025-11-17 12:05:15 223FG007</t>
  </si>
  <si>
    <t>#2025-11-17 12:32:46 223FG007</t>
  </si>
  <si>
    <t>#2025-11-17 12:36:16 223FG007</t>
  </si>
  <si>
    <t>#2025-11-17 12:37:20 223FG007</t>
  </si>
  <si>
    <t>L2 APM - BL</t>
  </si>
  <si>
    <t>#2025-11-17 12:47:13 223FG007</t>
  </si>
  <si>
    <t>#2025-11-17 13:01:17 223FG007</t>
  </si>
  <si>
    <t>#2025-11-17 13:02:33 223FG007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</si>
</sst>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dd/mm/yyyy\ hh:mm:ss"/>
    <numFmt numFmtId="169" formatCode="hh:mm:ss"/>
    <numFmt numFmtId="170" formatCode="0.0"/>
    <numFmt numFmtId="171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b/>
      <i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Border="1" applyAlignment="1" applyProtection="1">
      <alignment horizontal="center"/>
    </xf>
    <xf numFmtId="171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16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2" fontId="18" fillId="0" borderId="11" xfId="0" applyNumberFormat="1" applyFont="1" applyFill="1" applyBorder="1" applyAlignment="1" applyProtection="1"/>
    <xf numFmtId="170" fontId="18" fillId="0" borderId="11" xfId="0" applyNumberFormat="1" applyFont="1" applyFill="1" applyBorder="1" applyAlignment="1" applyProtection="1"/>
    <xf numFmtId="171" fontId="18" fillId="0" borderId="11" xfId="0" applyNumberFormat="1" applyFont="1" applyFill="1" applyBorder="1" applyAlignment="1" applyProtection="1"/>
    <xf numFmtId="170" fontId="0" fillId="0" borderId="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EB46-FFA1-4ED5-9731-8884B24168A0}">
  <dimension ref="A1:V12"/>
  <sheetViews>
    <sheetView workbookViewId="0"/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spans="1:22" x14ac:dyDescent="0.3">
      <c r="A4" s="2">
        <v>1</v>
      </c>
      <c r="B4" t="s">
        <v>23</v>
      </c>
      <c r="C4" t="s">
        <v>24</v>
      </c>
      <c r="D4" t="s">
        <v>25</v>
      </c>
      <c r="E4" t="s">
        <v>26</v>
      </c>
      <c r="F4" t="s">
        <v>2</v>
      </c>
      <c r="G4" s="3" t="s">
        <v>27</v>
      </c>
      <c r="H4" s="3" t="s">
        <v>28</v>
      </c>
      <c r="I4" s="3" t="s">
        <v>29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4">
        <v>25</v>
      </c>
      <c r="T4" s="5">
        <v>45972.388020833336</v>
      </c>
      <c r="U4" s="5">
        <v>45972.388449074075</v>
      </c>
      <c r="V4" s="6">
        <v>4.2824074625968933E-4</v>
      </c>
    </row>
    <row r="5" spans="1:22" x14ac:dyDescent="0.3">
      <c r="A5" s="2">
        <v>2</v>
      </c>
      <c r="B5" t="s">
        <v>38</v>
      </c>
      <c r="C5" t="s">
        <v>24</v>
      </c>
      <c r="D5" t="s">
        <v>26</v>
      </c>
      <c r="E5" t="s">
        <v>26</v>
      </c>
      <c r="F5" t="s">
        <v>2</v>
      </c>
      <c r="G5" s="3" t="s">
        <v>27</v>
      </c>
      <c r="H5" s="3" t="s">
        <v>28</v>
      </c>
      <c r="I5" s="3" t="s">
        <v>29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37</v>
      </c>
      <c r="S5" s="4">
        <v>25</v>
      </c>
      <c r="T5" s="5">
        <v>45972.392974537041</v>
      </c>
      <c r="U5" s="5">
        <v>45972.393576388888</v>
      </c>
      <c r="V5" s="6">
        <v>6.0185184702277184E-4</v>
      </c>
    </row>
    <row r="6" spans="1:22" x14ac:dyDescent="0.3">
      <c r="A6" s="2">
        <v>3</v>
      </c>
      <c r="B6" t="s">
        <v>39</v>
      </c>
      <c r="C6" t="s">
        <v>24</v>
      </c>
      <c r="D6" t="s">
        <v>26</v>
      </c>
      <c r="E6" t="s">
        <v>26</v>
      </c>
      <c r="F6" t="s">
        <v>2</v>
      </c>
      <c r="G6" s="7">
        <v>11.02</v>
      </c>
      <c r="H6" s="7">
        <v>6.59</v>
      </c>
      <c r="I6" s="3" t="s">
        <v>40</v>
      </c>
      <c r="J6" s="3" t="s">
        <v>40</v>
      </c>
      <c r="K6" s="3" t="s">
        <v>30</v>
      </c>
      <c r="L6" s="3" t="s">
        <v>41</v>
      </c>
      <c r="M6" s="3" t="s">
        <v>32</v>
      </c>
      <c r="N6" s="3" t="s">
        <v>33</v>
      </c>
      <c r="O6" s="3" t="s">
        <v>34</v>
      </c>
      <c r="P6" s="3" t="s">
        <v>35</v>
      </c>
      <c r="Q6" s="3" t="s">
        <v>36</v>
      </c>
      <c r="R6" s="3" t="s">
        <v>37</v>
      </c>
      <c r="S6" s="4">
        <v>25</v>
      </c>
      <c r="T6" s="5">
        <v>45972.396192129629</v>
      </c>
      <c r="U6" s="5">
        <v>45972.397546296299</v>
      </c>
      <c r="V6" s="6">
        <v>1.3541666558012366E-3</v>
      </c>
    </row>
    <row r="7" spans="1:22" x14ac:dyDescent="0.3">
      <c r="B7" s="1" t="s">
        <v>42</v>
      </c>
      <c r="G7" s="8">
        <f t="shared" ref="G7:S7" si="0">AVERAGE(G4:G6)</f>
        <v>11.02</v>
      </c>
      <c r="H7" s="8">
        <f t="shared" si="0"/>
        <v>6.59</v>
      </c>
      <c r="I7" s="8" t="e">
        <f t="shared" si="0"/>
        <v>#DIV/0!</v>
      </c>
      <c r="J7" s="8" t="e">
        <f t="shared" si="0"/>
        <v>#DIV/0!</v>
      </c>
      <c r="K7" s="8" t="e">
        <f t="shared" si="0"/>
        <v>#DIV/0!</v>
      </c>
      <c r="L7" s="8" t="e">
        <f t="shared" si="0"/>
        <v>#DIV/0!</v>
      </c>
      <c r="M7" s="9" t="e">
        <f t="shared" si="0"/>
        <v>#DIV/0!</v>
      </c>
      <c r="N7" s="9" t="e">
        <f t="shared" si="0"/>
        <v>#DIV/0!</v>
      </c>
      <c r="O7" s="9" t="e">
        <f t="shared" si="0"/>
        <v>#DIV/0!</v>
      </c>
      <c r="P7" s="9" t="e">
        <f t="shared" si="0"/>
        <v>#DIV/0!</v>
      </c>
      <c r="Q7" s="9" t="e">
        <f t="shared" si="0"/>
        <v>#DIV/0!</v>
      </c>
      <c r="R7" s="9" t="e">
        <f t="shared" si="0"/>
        <v>#DIV/0!</v>
      </c>
      <c r="S7" s="10">
        <f t="shared" si="0"/>
        <v>25</v>
      </c>
    </row>
    <row r="8" spans="1:22" x14ac:dyDescent="0.3">
      <c r="B8" s="1" t="s">
        <v>43</v>
      </c>
      <c r="G8" s="8">
        <f t="shared" ref="G8:S8" si="1">MIN(G4:G6)</f>
        <v>11.02</v>
      </c>
      <c r="H8" s="8">
        <f t="shared" si="1"/>
        <v>6.59</v>
      </c>
      <c r="I8" s="8">
        <f t="shared" si="1"/>
        <v>0</v>
      </c>
      <c r="J8" s="8">
        <f t="shared" si="1"/>
        <v>0</v>
      </c>
      <c r="K8" s="8">
        <f t="shared" si="1"/>
        <v>0</v>
      </c>
      <c r="L8" s="8">
        <f t="shared" si="1"/>
        <v>0</v>
      </c>
      <c r="M8" s="9">
        <f t="shared" si="1"/>
        <v>0</v>
      </c>
      <c r="N8" s="9">
        <f t="shared" si="1"/>
        <v>0</v>
      </c>
      <c r="O8" s="9">
        <f t="shared" si="1"/>
        <v>0</v>
      </c>
      <c r="P8" s="9">
        <f t="shared" si="1"/>
        <v>0</v>
      </c>
      <c r="Q8" s="9">
        <f t="shared" si="1"/>
        <v>0</v>
      </c>
      <c r="R8" s="9">
        <f t="shared" si="1"/>
        <v>0</v>
      </c>
      <c r="S8" s="10">
        <f t="shared" si="1"/>
        <v>25</v>
      </c>
    </row>
    <row r="9" spans="1:22" x14ac:dyDescent="0.3">
      <c r="B9" s="1" t="s">
        <v>44</v>
      </c>
      <c r="G9" s="8">
        <f t="shared" ref="G9:S9" si="2">MAX(G4:G6)</f>
        <v>11.02</v>
      </c>
      <c r="H9" s="8">
        <f t="shared" si="2"/>
        <v>6.59</v>
      </c>
      <c r="I9" s="8">
        <f t="shared" si="2"/>
        <v>0</v>
      </c>
      <c r="J9" s="8">
        <f t="shared" si="2"/>
        <v>0</v>
      </c>
      <c r="K9" s="8">
        <f t="shared" si="2"/>
        <v>0</v>
      </c>
      <c r="L9" s="8">
        <f t="shared" si="2"/>
        <v>0</v>
      </c>
      <c r="M9" s="9">
        <f t="shared" si="2"/>
        <v>0</v>
      </c>
      <c r="N9" s="9">
        <f t="shared" si="2"/>
        <v>0</v>
      </c>
      <c r="O9" s="9">
        <f t="shared" si="2"/>
        <v>0</v>
      </c>
      <c r="P9" s="9">
        <f t="shared" si="2"/>
        <v>0</v>
      </c>
      <c r="Q9" s="9">
        <f t="shared" si="2"/>
        <v>0</v>
      </c>
      <c r="R9" s="9">
        <f t="shared" si="2"/>
        <v>0</v>
      </c>
      <c r="S9" s="10">
        <f t="shared" si="2"/>
        <v>25</v>
      </c>
    </row>
    <row r="10" spans="1:22" x14ac:dyDescent="0.3">
      <c r="B10" s="1" t="s">
        <v>45</v>
      </c>
      <c r="G10" s="8" t="e">
        <f t="shared" ref="G10:S10" si="3">STDEV(G4:G6)</f>
        <v>#DIV/0!</v>
      </c>
      <c r="H10" s="8" t="e">
        <f t="shared" si="3"/>
        <v>#DIV/0!</v>
      </c>
      <c r="I10" s="8" t="e">
        <f t="shared" si="3"/>
        <v>#DIV/0!</v>
      </c>
      <c r="J10" s="8" t="e">
        <f t="shared" si="3"/>
        <v>#DIV/0!</v>
      </c>
      <c r="K10" s="8" t="e">
        <f t="shared" si="3"/>
        <v>#DIV/0!</v>
      </c>
      <c r="L10" s="8" t="e">
        <f t="shared" si="3"/>
        <v>#DIV/0!</v>
      </c>
      <c r="M10" s="9" t="e">
        <f t="shared" si="3"/>
        <v>#DIV/0!</v>
      </c>
      <c r="N10" s="9" t="e">
        <f t="shared" si="3"/>
        <v>#DIV/0!</v>
      </c>
      <c r="O10" s="9" t="e">
        <f t="shared" si="3"/>
        <v>#DIV/0!</v>
      </c>
      <c r="P10" s="9" t="e">
        <f t="shared" si="3"/>
        <v>#DIV/0!</v>
      </c>
      <c r="Q10" s="9" t="e">
        <f t="shared" si="3"/>
        <v>#DIV/0!</v>
      </c>
      <c r="R10" s="9" t="e">
        <f t="shared" si="3"/>
        <v>#DIV/0!</v>
      </c>
      <c r="S10" s="10">
        <f t="shared" si="3"/>
        <v>0</v>
      </c>
    </row>
    <row r="12" spans="1:22" x14ac:dyDescent="0.3">
      <c r="B12" s="1" t="s">
        <v>46</v>
      </c>
      <c r="G12" s="8" t="s">
        <v>47</v>
      </c>
      <c r="H12" s="8" t="s">
        <v>47</v>
      </c>
      <c r="I12" s="8" t="s">
        <v>47</v>
      </c>
      <c r="J12" s="8" t="s">
        <v>47</v>
      </c>
      <c r="K12" s="8" t="s">
        <v>47</v>
      </c>
      <c r="L12" s="8" t="s">
        <v>47</v>
      </c>
      <c r="M12" s="9" t="s">
        <v>47</v>
      </c>
      <c r="N12" s="9" t="s">
        <v>47</v>
      </c>
      <c r="O12" s="9" t="s">
        <v>47</v>
      </c>
      <c r="P12" s="9" t="s">
        <v>47</v>
      </c>
      <c r="Q12" s="9" t="s">
        <v>47</v>
      </c>
      <c r="R12" s="9" t="s">
        <v>47</v>
      </c>
      <c r="S12" s="10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3482-EF58-4BB3-BBD0-5F5CF4361145}">
  <dimension ref="A1:X217"/>
  <sheetViews>
    <sheetView workbookViewId="0"/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21" width="11.6640625" bestFit="1" customWidth="1"/>
    <col min="22" max="23" width="17.88671875" bestFit="1" customWidth="1"/>
    <col min="24" max="24" width="11.6640625" bestFit="1" customWidth="1"/>
  </cols>
  <sheetData>
    <row r="1" spans="1:24" s="1" customFormat="1" ht="13.8" x14ac:dyDescent="0.25">
      <c r="A1" s="1" t="s">
        <v>0</v>
      </c>
    </row>
    <row r="3" spans="1:24" x14ac:dyDescent="0.3">
      <c r="A3" s="2" t="s">
        <v>1</v>
      </c>
      <c r="B3" s="2" t="s">
        <v>48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49</v>
      </c>
      <c r="L3" s="2" t="s">
        <v>50</v>
      </c>
      <c r="M3" s="2" t="s">
        <v>11</v>
      </c>
      <c r="N3" s="2" t="s">
        <v>19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51</v>
      </c>
      <c r="T3" s="2" t="s">
        <v>52</v>
      </c>
      <c r="U3" s="2" t="s">
        <v>17</v>
      </c>
      <c r="V3" s="2" t="s">
        <v>20</v>
      </c>
      <c r="W3" s="2" t="s">
        <v>21</v>
      </c>
      <c r="X3" s="2" t="s">
        <v>22</v>
      </c>
    </row>
    <row r="4" spans="1:24" x14ac:dyDescent="0.3">
      <c r="A4" s="2">
        <v>4</v>
      </c>
      <c r="B4" t="s">
        <v>53</v>
      </c>
      <c r="C4" t="s">
        <v>24</v>
      </c>
      <c r="D4" t="s">
        <v>26</v>
      </c>
      <c r="E4" t="s">
        <v>26</v>
      </c>
      <c r="F4" t="s">
        <v>48</v>
      </c>
      <c r="G4" s="11">
        <v>9.6</v>
      </c>
      <c r="H4" s="3" t="s">
        <v>54</v>
      </c>
      <c r="I4" s="11">
        <v>2.2000000000000002</v>
      </c>
      <c r="J4" s="11">
        <v>28.5</v>
      </c>
      <c r="K4" s="11">
        <v>63.4</v>
      </c>
      <c r="L4" s="11">
        <v>40.6</v>
      </c>
      <c r="M4" s="7">
        <v>6.33</v>
      </c>
      <c r="N4" s="4">
        <v>25</v>
      </c>
      <c r="O4" s="11">
        <v>5.5</v>
      </c>
      <c r="P4" s="11">
        <v>14.1</v>
      </c>
      <c r="Q4" s="11">
        <v>22.5</v>
      </c>
      <c r="R4" s="11">
        <v>5</v>
      </c>
      <c r="S4" s="11">
        <v>24.2</v>
      </c>
      <c r="T4" s="11">
        <v>3.9</v>
      </c>
      <c r="U4" s="11">
        <v>4.0999999999999996</v>
      </c>
      <c r="V4" s="5">
        <v>45972.400567129633</v>
      </c>
      <c r="W4" s="5">
        <v>45972.400648148148</v>
      </c>
      <c r="X4" s="6">
        <v>8.1018515629693866E-5</v>
      </c>
    </row>
    <row r="5" spans="1:24" x14ac:dyDescent="0.3">
      <c r="A5" s="2">
        <v>5</v>
      </c>
      <c r="B5" t="s">
        <v>55</v>
      </c>
      <c r="C5" t="s">
        <v>24</v>
      </c>
      <c r="D5" t="s">
        <v>56</v>
      </c>
      <c r="E5" t="s">
        <v>26</v>
      </c>
      <c r="F5" t="s">
        <v>48</v>
      </c>
      <c r="G5" s="11">
        <v>8.4</v>
      </c>
      <c r="H5" s="11">
        <v>1.2</v>
      </c>
      <c r="I5" s="11">
        <v>1.1000000000000001</v>
      </c>
      <c r="J5" s="11">
        <v>28.2</v>
      </c>
      <c r="K5" s="11">
        <v>65.7</v>
      </c>
      <c r="L5" s="11">
        <v>35.9</v>
      </c>
      <c r="M5" s="7">
        <v>9.36</v>
      </c>
      <c r="N5" s="4">
        <v>25</v>
      </c>
      <c r="O5" s="11">
        <v>3.3</v>
      </c>
      <c r="P5" s="11">
        <v>3.9</v>
      </c>
      <c r="Q5" s="11">
        <v>4.9000000000000004</v>
      </c>
      <c r="R5" s="11">
        <v>4.5999999999999996</v>
      </c>
      <c r="S5" s="11">
        <v>10.4</v>
      </c>
      <c r="T5" s="11">
        <v>2</v>
      </c>
      <c r="U5" s="11">
        <v>2.8</v>
      </c>
      <c r="V5" s="5">
        <v>45972.403136574074</v>
      </c>
      <c r="W5" s="5">
        <v>45972.403263888889</v>
      </c>
      <c r="X5" s="6">
        <v>1.2731482274830341E-4</v>
      </c>
    </row>
    <row r="6" spans="1:24" x14ac:dyDescent="0.3">
      <c r="A6" s="2">
        <v>6</v>
      </c>
      <c r="B6" t="s">
        <v>57</v>
      </c>
      <c r="C6" t="s">
        <v>24</v>
      </c>
      <c r="D6" t="s">
        <v>58</v>
      </c>
      <c r="E6" t="s">
        <v>26</v>
      </c>
      <c r="F6" t="s">
        <v>48</v>
      </c>
      <c r="G6" s="11">
        <v>10.5</v>
      </c>
      <c r="H6" s="11">
        <v>44.2</v>
      </c>
      <c r="I6" s="11">
        <v>2.5</v>
      </c>
      <c r="J6" s="11">
        <v>13.5</v>
      </c>
      <c r="K6" s="3" t="s">
        <v>54</v>
      </c>
      <c r="L6" s="11">
        <v>10.8</v>
      </c>
      <c r="M6" s="7">
        <v>10.89</v>
      </c>
      <c r="N6" s="4">
        <v>25</v>
      </c>
      <c r="O6" s="11">
        <v>25.8</v>
      </c>
      <c r="P6" s="3" t="s">
        <v>59</v>
      </c>
      <c r="Q6" s="11">
        <v>14.4</v>
      </c>
      <c r="R6" s="11">
        <v>4.7</v>
      </c>
      <c r="S6" s="11">
        <v>45.2</v>
      </c>
      <c r="T6" s="11">
        <v>40.799999999999997</v>
      </c>
      <c r="U6" s="11">
        <v>30.2</v>
      </c>
      <c r="V6" s="5">
        <v>45972.403460648151</v>
      </c>
      <c r="W6" s="5">
        <v>45972.403587962966</v>
      </c>
      <c r="X6" s="6">
        <v>1.2731482274830341E-4</v>
      </c>
    </row>
    <row r="7" spans="1:24" x14ac:dyDescent="0.3">
      <c r="A7" s="2">
        <v>7</v>
      </c>
      <c r="B7" t="s">
        <v>60</v>
      </c>
      <c r="C7" t="s">
        <v>24</v>
      </c>
      <c r="D7" t="s">
        <v>61</v>
      </c>
      <c r="E7" t="s">
        <v>26</v>
      </c>
      <c r="F7" t="s">
        <v>48</v>
      </c>
      <c r="G7" s="11">
        <v>7.4</v>
      </c>
      <c r="H7" s="11">
        <v>21.7</v>
      </c>
      <c r="I7" s="11">
        <v>1</v>
      </c>
      <c r="J7" s="11">
        <v>18</v>
      </c>
      <c r="K7" s="11">
        <v>12.3</v>
      </c>
      <c r="L7" s="11">
        <v>19.899999999999999</v>
      </c>
      <c r="M7" s="7">
        <v>9.76</v>
      </c>
      <c r="N7" s="4">
        <v>25</v>
      </c>
      <c r="O7" s="11">
        <v>5.0999999999999996</v>
      </c>
      <c r="P7" s="3" t="s">
        <v>59</v>
      </c>
      <c r="Q7" s="11">
        <v>12.5</v>
      </c>
      <c r="R7" s="11">
        <v>5.6</v>
      </c>
      <c r="S7" s="11">
        <v>11.9</v>
      </c>
      <c r="T7" s="11">
        <v>13.3</v>
      </c>
      <c r="U7" s="11">
        <v>18.399999999999999</v>
      </c>
      <c r="V7" s="5">
        <v>45972.404756944445</v>
      </c>
      <c r="W7" s="5">
        <v>45972.404872685183</v>
      </c>
      <c r="X7" s="6">
        <v>1.1574075324460864E-4</v>
      </c>
    </row>
    <row r="8" spans="1:24" x14ac:dyDescent="0.3">
      <c r="A8" s="2">
        <v>8</v>
      </c>
      <c r="B8" t="s">
        <v>62</v>
      </c>
      <c r="C8" t="s">
        <v>24</v>
      </c>
      <c r="D8" t="s">
        <v>63</v>
      </c>
      <c r="E8" t="s">
        <v>26</v>
      </c>
      <c r="F8" t="s">
        <v>48</v>
      </c>
      <c r="G8" s="11">
        <v>10.7</v>
      </c>
      <c r="H8" s="11">
        <v>26</v>
      </c>
      <c r="I8" s="11">
        <v>3.4</v>
      </c>
      <c r="J8" s="11">
        <v>13</v>
      </c>
      <c r="K8" s="3" t="s">
        <v>54</v>
      </c>
      <c r="L8" s="11">
        <v>8.8000000000000007</v>
      </c>
      <c r="M8" s="7">
        <v>14.01</v>
      </c>
      <c r="N8" s="4">
        <v>25</v>
      </c>
      <c r="O8" s="11">
        <v>13.4</v>
      </c>
      <c r="P8" s="11">
        <v>42.7</v>
      </c>
      <c r="Q8" s="11">
        <v>20.7</v>
      </c>
      <c r="R8" s="11">
        <v>9.4</v>
      </c>
      <c r="S8" s="11">
        <v>38.4</v>
      </c>
      <c r="T8" s="11">
        <v>38.6</v>
      </c>
      <c r="U8" s="11">
        <v>22.7</v>
      </c>
      <c r="V8" s="5">
        <v>45972.405057870368</v>
      </c>
      <c r="W8" s="5">
        <v>45972.405173611114</v>
      </c>
      <c r="X8" s="6">
        <v>1.1574075324460864E-4</v>
      </c>
    </row>
    <row r="9" spans="1:24" x14ac:dyDescent="0.3">
      <c r="A9" s="2">
        <v>9</v>
      </c>
      <c r="B9" t="s">
        <v>64</v>
      </c>
      <c r="C9" t="s">
        <v>24</v>
      </c>
      <c r="D9" t="s">
        <v>65</v>
      </c>
      <c r="E9" t="s">
        <v>26</v>
      </c>
      <c r="F9" t="s">
        <v>48</v>
      </c>
      <c r="G9" s="11">
        <v>11</v>
      </c>
      <c r="H9" s="11">
        <v>8.6999999999999993</v>
      </c>
      <c r="I9" s="11">
        <v>1.7</v>
      </c>
      <c r="J9" s="11">
        <v>26</v>
      </c>
      <c r="K9" s="11">
        <v>32.5</v>
      </c>
      <c r="L9" s="11">
        <v>29.9</v>
      </c>
      <c r="M9" s="7">
        <v>6.72</v>
      </c>
      <c r="N9" s="4">
        <v>25</v>
      </c>
      <c r="O9" s="11">
        <v>4.7</v>
      </c>
      <c r="P9" s="3" t="s">
        <v>59</v>
      </c>
      <c r="Q9" s="11">
        <v>8.9</v>
      </c>
      <c r="R9" s="11">
        <v>2</v>
      </c>
      <c r="S9" s="11">
        <v>4.0999999999999996</v>
      </c>
      <c r="T9" s="11">
        <v>5.6</v>
      </c>
      <c r="U9" s="11">
        <v>5.8</v>
      </c>
      <c r="V9" s="5">
        <v>45972.405324074076</v>
      </c>
      <c r="W9" s="5">
        <v>45972.405439814815</v>
      </c>
      <c r="X9" s="6">
        <v>1.2731482274830341E-4</v>
      </c>
    </row>
    <row r="10" spans="1:24" x14ac:dyDescent="0.3">
      <c r="A10" s="2">
        <v>10</v>
      </c>
      <c r="B10" t="s">
        <v>66</v>
      </c>
      <c r="C10" t="s">
        <v>24</v>
      </c>
      <c r="D10" t="s">
        <v>67</v>
      </c>
      <c r="E10" t="s">
        <v>26</v>
      </c>
      <c r="F10" t="s">
        <v>48</v>
      </c>
      <c r="G10" s="11">
        <v>10</v>
      </c>
      <c r="H10" s="11">
        <v>13.4</v>
      </c>
      <c r="I10" s="11">
        <v>4.7</v>
      </c>
      <c r="J10" s="11">
        <v>14.7</v>
      </c>
      <c r="K10" s="3" t="s">
        <v>54</v>
      </c>
      <c r="L10" s="11">
        <v>23</v>
      </c>
      <c r="M10" s="7">
        <v>20.47</v>
      </c>
      <c r="N10" s="4">
        <v>25</v>
      </c>
      <c r="O10" s="11">
        <v>23.8</v>
      </c>
      <c r="P10" s="3" t="s">
        <v>59</v>
      </c>
      <c r="Q10" s="3" t="s">
        <v>68</v>
      </c>
      <c r="R10" s="11">
        <v>8.1</v>
      </c>
      <c r="S10" s="11">
        <v>28.1</v>
      </c>
      <c r="T10" s="11">
        <v>46.2</v>
      </c>
      <c r="U10" s="11">
        <v>40.6</v>
      </c>
      <c r="V10" s="5">
        <v>45972.405624999999</v>
      </c>
      <c r="W10" s="5">
        <v>45972.405740740738</v>
      </c>
      <c r="X10" s="6">
        <v>1.2731482274830341E-4</v>
      </c>
    </row>
    <row r="11" spans="1:24" x14ac:dyDescent="0.3">
      <c r="A11" s="2">
        <v>11</v>
      </c>
      <c r="B11" t="s">
        <v>69</v>
      </c>
      <c r="C11" t="s">
        <v>24</v>
      </c>
      <c r="D11" t="s">
        <v>70</v>
      </c>
      <c r="E11" t="s">
        <v>26</v>
      </c>
      <c r="F11" t="s">
        <v>48</v>
      </c>
      <c r="G11" s="11">
        <v>10.1</v>
      </c>
      <c r="H11" s="11">
        <v>20.2</v>
      </c>
      <c r="I11" s="11">
        <v>2.7</v>
      </c>
      <c r="J11" s="11">
        <v>16.3</v>
      </c>
      <c r="K11" s="3" t="s">
        <v>54</v>
      </c>
      <c r="L11" s="11">
        <v>16.5</v>
      </c>
      <c r="M11" s="7">
        <v>11.37</v>
      </c>
      <c r="N11" s="4">
        <v>25</v>
      </c>
      <c r="O11" s="11">
        <v>6.9</v>
      </c>
      <c r="P11" s="11">
        <v>18.7</v>
      </c>
      <c r="Q11" s="11">
        <v>9.4</v>
      </c>
      <c r="R11" s="11">
        <v>5.8</v>
      </c>
      <c r="S11" s="11">
        <v>14.4</v>
      </c>
      <c r="T11" s="11">
        <v>15.6</v>
      </c>
      <c r="U11" s="11">
        <v>11</v>
      </c>
      <c r="V11" s="5">
        <v>45972.405891203707</v>
      </c>
      <c r="W11" s="5">
        <v>45972.406053240738</v>
      </c>
      <c r="X11" s="6">
        <v>1.6203703125938773E-4</v>
      </c>
    </row>
    <row r="12" spans="1:24" x14ac:dyDescent="0.3">
      <c r="A12" s="2">
        <v>12</v>
      </c>
      <c r="B12" t="s">
        <v>71</v>
      </c>
      <c r="C12" t="s">
        <v>24</v>
      </c>
      <c r="D12" t="s">
        <v>72</v>
      </c>
      <c r="E12" t="s">
        <v>26</v>
      </c>
      <c r="F12" t="s">
        <v>48</v>
      </c>
      <c r="G12" s="11">
        <v>9.5</v>
      </c>
      <c r="H12" s="3" t="s">
        <v>59</v>
      </c>
      <c r="I12" s="11">
        <v>2.2999999999999998</v>
      </c>
      <c r="J12" s="11">
        <v>16</v>
      </c>
      <c r="K12" s="3" t="s">
        <v>54</v>
      </c>
      <c r="L12" s="11">
        <v>12.3</v>
      </c>
      <c r="M12" s="7">
        <v>12.95</v>
      </c>
      <c r="N12" s="4">
        <v>25</v>
      </c>
      <c r="O12" s="11">
        <v>59.4</v>
      </c>
      <c r="P12" s="3" t="s">
        <v>59</v>
      </c>
      <c r="Q12" s="11">
        <v>24.7</v>
      </c>
      <c r="R12" s="11">
        <v>5.2</v>
      </c>
      <c r="S12" s="11">
        <v>77.599999999999994</v>
      </c>
      <c r="T12" s="11">
        <v>80</v>
      </c>
      <c r="U12" s="11">
        <v>60</v>
      </c>
      <c r="V12" s="5">
        <v>45972.4062037037</v>
      </c>
      <c r="W12" s="5">
        <v>45972.406319444446</v>
      </c>
      <c r="X12" s="6">
        <v>1.1574075324460864E-4</v>
      </c>
    </row>
    <row r="13" spans="1:24" x14ac:dyDescent="0.3">
      <c r="A13" s="2">
        <v>13</v>
      </c>
      <c r="B13" t="s">
        <v>73</v>
      </c>
      <c r="C13" t="s">
        <v>24</v>
      </c>
      <c r="D13" t="s">
        <v>74</v>
      </c>
      <c r="E13" t="s">
        <v>26</v>
      </c>
      <c r="F13" t="s">
        <v>48</v>
      </c>
      <c r="G13" s="11">
        <v>11.1</v>
      </c>
      <c r="H13" s="11">
        <v>21.8</v>
      </c>
      <c r="I13" s="11">
        <v>2.2999999999999998</v>
      </c>
      <c r="J13" s="11">
        <v>19.899999999999999</v>
      </c>
      <c r="K13" s="11">
        <v>14.6</v>
      </c>
      <c r="L13" s="11">
        <v>24.4</v>
      </c>
      <c r="M13" s="7">
        <v>10.050000000000001</v>
      </c>
      <c r="N13" s="4">
        <v>25</v>
      </c>
      <c r="O13" s="11">
        <v>8.1</v>
      </c>
      <c r="P13" s="11">
        <v>18.7</v>
      </c>
      <c r="Q13" s="11">
        <v>7.4</v>
      </c>
      <c r="R13" s="11">
        <v>2.1</v>
      </c>
      <c r="S13" s="11">
        <v>6.2</v>
      </c>
      <c r="T13" s="11">
        <v>8.6</v>
      </c>
      <c r="U13" s="11">
        <v>12.3</v>
      </c>
      <c r="V13" s="5">
        <v>45972.406481481485</v>
      </c>
      <c r="W13" s="5">
        <v>45972.406678240739</v>
      </c>
      <c r="X13" s="6">
        <v>1.9675926887430251E-4</v>
      </c>
    </row>
    <row r="14" spans="1:24" x14ac:dyDescent="0.3">
      <c r="A14" s="2">
        <v>14</v>
      </c>
      <c r="B14" t="s">
        <v>75</v>
      </c>
      <c r="C14" t="s">
        <v>24</v>
      </c>
      <c r="D14" t="s">
        <v>76</v>
      </c>
      <c r="E14" t="s">
        <v>26</v>
      </c>
      <c r="F14" t="s">
        <v>48</v>
      </c>
      <c r="G14" s="11">
        <v>7.6</v>
      </c>
      <c r="H14" s="3" t="s">
        <v>54</v>
      </c>
      <c r="I14" s="11">
        <v>1</v>
      </c>
      <c r="J14" s="11">
        <v>29.9</v>
      </c>
      <c r="K14" s="11">
        <v>65.099999999999994</v>
      </c>
      <c r="L14" s="11">
        <v>39.200000000000003</v>
      </c>
      <c r="M14" s="7">
        <v>9.34</v>
      </c>
      <c r="N14" s="4">
        <v>25</v>
      </c>
      <c r="O14" s="11">
        <v>1.4</v>
      </c>
      <c r="P14" s="11">
        <v>4.8</v>
      </c>
      <c r="Q14" s="11">
        <v>3.1</v>
      </c>
      <c r="R14" s="11">
        <v>1.8</v>
      </c>
      <c r="S14" s="11">
        <v>6</v>
      </c>
      <c r="T14" s="11">
        <v>1.2</v>
      </c>
      <c r="U14" s="11">
        <v>1.7</v>
      </c>
      <c r="V14" s="5">
        <v>45972.406863425924</v>
      </c>
      <c r="W14" s="5">
        <v>45972.407013888886</v>
      </c>
      <c r="X14" s="6">
        <v>1.6203703125938773E-4</v>
      </c>
    </row>
    <row r="15" spans="1:24" x14ac:dyDescent="0.3">
      <c r="A15" s="2">
        <v>15</v>
      </c>
      <c r="B15" t="s">
        <v>77</v>
      </c>
      <c r="C15" t="s">
        <v>24</v>
      </c>
      <c r="D15" t="s">
        <v>78</v>
      </c>
      <c r="E15" t="s">
        <v>26</v>
      </c>
      <c r="F15" t="s">
        <v>48</v>
      </c>
      <c r="G15" s="11">
        <v>11</v>
      </c>
      <c r="H15" s="11">
        <v>16.5</v>
      </c>
      <c r="I15" s="11">
        <v>2.2999999999999998</v>
      </c>
      <c r="J15" s="11">
        <v>17.8</v>
      </c>
      <c r="K15" s="11">
        <v>17.7</v>
      </c>
      <c r="L15" s="11">
        <v>22.5</v>
      </c>
      <c r="M15" s="7">
        <v>11.28</v>
      </c>
      <c r="N15" s="4">
        <v>25</v>
      </c>
      <c r="O15" s="11">
        <v>8.1999999999999993</v>
      </c>
      <c r="P15" s="11">
        <v>17.3</v>
      </c>
      <c r="Q15" s="11">
        <v>7.8</v>
      </c>
      <c r="R15" s="11">
        <v>5.2</v>
      </c>
      <c r="S15" s="11">
        <v>6.7</v>
      </c>
      <c r="T15" s="11">
        <v>8.6</v>
      </c>
      <c r="U15" s="11">
        <v>12.9</v>
      </c>
      <c r="V15" s="5">
        <v>45972.407152777778</v>
      </c>
      <c r="W15" s="5">
        <v>45972.407280092593</v>
      </c>
      <c r="X15" s="6">
        <v>1.2731482274830341E-4</v>
      </c>
    </row>
    <row r="16" spans="1:24" x14ac:dyDescent="0.3">
      <c r="A16" s="2">
        <v>16</v>
      </c>
      <c r="B16" t="s">
        <v>79</v>
      </c>
      <c r="C16" t="s">
        <v>24</v>
      </c>
      <c r="D16" t="s">
        <v>80</v>
      </c>
      <c r="E16" t="s">
        <v>26</v>
      </c>
      <c r="F16" t="s">
        <v>48</v>
      </c>
      <c r="G16" s="11">
        <v>10.199999999999999</v>
      </c>
      <c r="H16" s="11">
        <v>6.4</v>
      </c>
      <c r="I16" s="11">
        <v>1.2</v>
      </c>
      <c r="J16" s="11">
        <v>28.9</v>
      </c>
      <c r="K16" s="11">
        <v>42</v>
      </c>
      <c r="L16" s="11">
        <v>37.5</v>
      </c>
      <c r="M16" s="7">
        <v>7</v>
      </c>
      <c r="N16" s="4">
        <v>25</v>
      </c>
      <c r="O16" s="11">
        <v>2.5</v>
      </c>
      <c r="P16" s="11">
        <v>11.5</v>
      </c>
      <c r="Q16" s="11">
        <v>3.8</v>
      </c>
      <c r="R16" s="11">
        <v>0.2</v>
      </c>
      <c r="S16" s="11">
        <v>4.3</v>
      </c>
      <c r="T16" s="11">
        <v>4.5999999999999996</v>
      </c>
      <c r="U16" s="11">
        <v>4</v>
      </c>
      <c r="V16" s="5">
        <v>45972.407453703701</v>
      </c>
      <c r="W16" s="5">
        <v>45972.407569444447</v>
      </c>
      <c r="X16" s="6">
        <v>1.2731482274830341E-4</v>
      </c>
    </row>
    <row r="17" spans="1:24" x14ac:dyDescent="0.3">
      <c r="A17" s="2">
        <v>17</v>
      </c>
      <c r="B17" t="s">
        <v>81</v>
      </c>
      <c r="C17" t="s">
        <v>24</v>
      </c>
      <c r="D17" t="s">
        <v>82</v>
      </c>
      <c r="E17" t="s">
        <v>26</v>
      </c>
      <c r="F17" t="s">
        <v>48</v>
      </c>
      <c r="G17" s="11">
        <v>12.4</v>
      </c>
      <c r="H17" s="11">
        <v>26.3</v>
      </c>
      <c r="I17" s="11">
        <v>1.8</v>
      </c>
      <c r="J17" s="11">
        <v>16</v>
      </c>
      <c r="K17" s="11">
        <v>14</v>
      </c>
      <c r="L17" s="11">
        <v>21.6</v>
      </c>
      <c r="M17" s="7">
        <v>10.07</v>
      </c>
      <c r="N17" s="4">
        <v>25</v>
      </c>
      <c r="O17" s="11">
        <v>14.9</v>
      </c>
      <c r="P17" s="11">
        <v>14.9</v>
      </c>
      <c r="Q17" s="11">
        <v>7.4</v>
      </c>
      <c r="R17" s="11">
        <v>4.9000000000000004</v>
      </c>
      <c r="S17" s="11">
        <v>7.2</v>
      </c>
      <c r="T17" s="11">
        <v>8.9</v>
      </c>
      <c r="U17" s="11">
        <v>16.8</v>
      </c>
      <c r="V17" s="5">
        <v>45972.407708333332</v>
      </c>
      <c r="W17" s="5">
        <v>45972.407835648148</v>
      </c>
      <c r="X17" s="6">
        <v>1.2731482274830341E-4</v>
      </c>
    </row>
    <row r="18" spans="1:24" x14ac:dyDescent="0.3">
      <c r="A18" s="2">
        <v>18</v>
      </c>
      <c r="B18" t="s">
        <v>83</v>
      </c>
      <c r="C18" t="s">
        <v>24</v>
      </c>
      <c r="D18" t="s">
        <v>84</v>
      </c>
      <c r="E18" t="s">
        <v>26</v>
      </c>
      <c r="F18" t="s">
        <v>48</v>
      </c>
      <c r="G18" s="11">
        <v>10.199999999999999</v>
      </c>
      <c r="H18" s="11">
        <v>8</v>
      </c>
      <c r="I18" s="11">
        <v>2.2999999999999998</v>
      </c>
      <c r="J18" s="11">
        <v>24.5</v>
      </c>
      <c r="K18" s="11">
        <v>23.3</v>
      </c>
      <c r="L18" s="11">
        <v>26.5</v>
      </c>
      <c r="M18" s="7">
        <v>7.48</v>
      </c>
      <c r="N18" s="4">
        <v>25</v>
      </c>
      <c r="O18" s="11">
        <v>4.5999999999999996</v>
      </c>
      <c r="P18" s="11">
        <v>47.9</v>
      </c>
      <c r="Q18" s="11">
        <v>11.7</v>
      </c>
      <c r="R18" s="11">
        <v>3.3</v>
      </c>
      <c r="S18" s="11">
        <v>4</v>
      </c>
      <c r="T18" s="11">
        <v>5.9</v>
      </c>
      <c r="U18" s="11">
        <v>5</v>
      </c>
      <c r="V18" s="5">
        <v>45972.407997685186</v>
      </c>
      <c r="W18" s="5">
        <v>45972.408113425925</v>
      </c>
      <c r="X18" s="6">
        <v>1.2731482274830341E-4</v>
      </c>
    </row>
    <row r="19" spans="1:24" x14ac:dyDescent="0.3">
      <c r="A19" s="2">
        <v>19</v>
      </c>
      <c r="B19" t="s">
        <v>85</v>
      </c>
      <c r="C19" t="s">
        <v>24</v>
      </c>
      <c r="D19" t="s">
        <v>86</v>
      </c>
      <c r="E19" t="s">
        <v>26</v>
      </c>
      <c r="F19" t="s">
        <v>48</v>
      </c>
      <c r="G19" s="11">
        <v>11.3</v>
      </c>
      <c r="H19" s="11">
        <v>20.6</v>
      </c>
      <c r="I19" s="11">
        <v>1.8</v>
      </c>
      <c r="J19" s="11">
        <v>24.8</v>
      </c>
      <c r="K19" s="11">
        <v>7.4</v>
      </c>
      <c r="L19" s="11">
        <v>27.4</v>
      </c>
      <c r="M19" s="7">
        <v>10.3</v>
      </c>
      <c r="N19" s="4">
        <v>25</v>
      </c>
      <c r="O19" s="11">
        <v>13</v>
      </c>
      <c r="P19" s="11">
        <v>34.1</v>
      </c>
      <c r="Q19" s="11">
        <v>22.3</v>
      </c>
      <c r="R19" s="11">
        <v>3.6</v>
      </c>
      <c r="S19" s="11">
        <v>18.3</v>
      </c>
      <c r="T19" s="11">
        <v>19.5</v>
      </c>
      <c r="U19" s="11">
        <v>11.4</v>
      </c>
      <c r="V19" s="5">
        <v>45972.408252314817</v>
      </c>
      <c r="W19" s="5">
        <v>45972.408379629633</v>
      </c>
      <c r="X19" s="6">
        <v>1.1574075324460864E-4</v>
      </c>
    </row>
    <row r="20" spans="1:24" x14ac:dyDescent="0.3">
      <c r="A20" s="2">
        <v>20</v>
      </c>
      <c r="B20" t="s">
        <v>87</v>
      </c>
      <c r="C20" t="s">
        <v>24</v>
      </c>
      <c r="D20" t="s">
        <v>88</v>
      </c>
      <c r="E20" t="s">
        <v>26</v>
      </c>
      <c r="F20" t="s">
        <v>48</v>
      </c>
      <c r="G20" s="11">
        <v>9.5</v>
      </c>
      <c r="H20" s="11">
        <v>22.8</v>
      </c>
      <c r="I20" s="11">
        <v>4.0999999999999996</v>
      </c>
      <c r="J20" s="11">
        <v>17.2</v>
      </c>
      <c r="K20" s="3" t="s">
        <v>54</v>
      </c>
      <c r="L20" s="11">
        <v>18.7</v>
      </c>
      <c r="M20" s="7">
        <v>11.7</v>
      </c>
      <c r="N20" s="4">
        <v>25</v>
      </c>
      <c r="O20" s="11">
        <v>6.7</v>
      </c>
      <c r="P20" s="11">
        <v>49</v>
      </c>
      <c r="Q20" s="11">
        <v>32.299999999999997</v>
      </c>
      <c r="R20" s="11">
        <v>2.4</v>
      </c>
      <c r="S20" s="11">
        <v>24.2</v>
      </c>
      <c r="T20" s="11">
        <v>29.2</v>
      </c>
      <c r="U20" s="11">
        <v>12</v>
      </c>
      <c r="V20" s="5">
        <v>45972.408564814818</v>
      </c>
      <c r="W20" s="5">
        <v>45972.408761574072</v>
      </c>
      <c r="X20" s="6">
        <v>1.9675926887430251E-4</v>
      </c>
    </row>
    <row r="21" spans="1:24" x14ac:dyDescent="0.3">
      <c r="A21" s="2">
        <v>21</v>
      </c>
      <c r="B21" t="s">
        <v>89</v>
      </c>
      <c r="C21" t="s">
        <v>24</v>
      </c>
      <c r="D21" t="s">
        <v>90</v>
      </c>
      <c r="E21" t="s">
        <v>26</v>
      </c>
      <c r="F21" t="s">
        <v>48</v>
      </c>
      <c r="G21" s="11">
        <v>11.9</v>
      </c>
      <c r="H21" s="11">
        <v>18.899999999999999</v>
      </c>
      <c r="I21" s="11">
        <v>1.7</v>
      </c>
      <c r="J21" s="11">
        <v>21.9</v>
      </c>
      <c r="K21" s="11">
        <v>4</v>
      </c>
      <c r="L21" s="11">
        <v>23.5</v>
      </c>
      <c r="M21" s="7">
        <v>10.74</v>
      </c>
      <c r="N21" s="4">
        <v>25</v>
      </c>
      <c r="O21" s="11">
        <v>9.1</v>
      </c>
      <c r="P21" s="11">
        <v>22.6</v>
      </c>
      <c r="Q21" s="11">
        <v>8.1</v>
      </c>
      <c r="R21" s="11">
        <v>2.1</v>
      </c>
      <c r="S21" s="11">
        <v>9.6</v>
      </c>
      <c r="T21" s="11">
        <v>15.1</v>
      </c>
      <c r="U21" s="11">
        <v>11</v>
      </c>
      <c r="V21" s="5">
        <v>45972.40892361111</v>
      </c>
      <c r="W21" s="5">
        <v>45972.409050925926</v>
      </c>
      <c r="X21" s="6">
        <v>1.2731482274830341E-4</v>
      </c>
    </row>
    <row r="22" spans="1:24" x14ac:dyDescent="0.3">
      <c r="A22" s="2">
        <v>22</v>
      </c>
      <c r="B22" t="s">
        <v>91</v>
      </c>
      <c r="C22" t="s">
        <v>24</v>
      </c>
      <c r="D22" t="s">
        <v>92</v>
      </c>
      <c r="E22" t="s">
        <v>26</v>
      </c>
      <c r="F22" t="s">
        <v>48</v>
      </c>
      <c r="G22" s="11">
        <v>8.9</v>
      </c>
      <c r="H22" s="11">
        <v>15</v>
      </c>
      <c r="I22" s="11">
        <v>1.4</v>
      </c>
      <c r="J22" s="11">
        <v>26.3</v>
      </c>
      <c r="K22" s="11">
        <v>30.7</v>
      </c>
      <c r="L22" s="11">
        <v>32.200000000000003</v>
      </c>
      <c r="M22" s="7">
        <v>8.34</v>
      </c>
      <c r="N22" s="4">
        <v>25</v>
      </c>
      <c r="O22" s="11">
        <v>1.5</v>
      </c>
      <c r="P22" s="11">
        <v>5.4</v>
      </c>
      <c r="Q22" s="11">
        <v>2.5</v>
      </c>
      <c r="R22" s="11">
        <v>0.8</v>
      </c>
      <c r="S22" s="11">
        <v>2.8</v>
      </c>
      <c r="T22" s="11">
        <v>3</v>
      </c>
      <c r="U22" s="11">
        <v>1.4</v>
      </c>
      <c r="V22" s="5">
        <v>45972.409189814818</v>
      </c>
      <c r="W22" s="5">
        <v>45972.409317129626</v>
      </c>
      <c r="X22" s="6">
        <v>1.2731482274830341E-4</v>
      </c>
    </row>
    <row r="23" spans="1:24" x14ac:dyDescent="0.3">
      <c r="A23" s="2">
        <v>23</v>
      </c>
      <c r="B23" t="s">
        <v>93</v>
      </c>
      <c r="C23" t="s">
        <v>24</v>
      </c>
      <c r="D23" t="s">
        <v>94</v>
      </c>
      <c r="E23" t="s">
        <v>26</v>
      </c>
      <c r="F23" t="s">
        <v>48</v>
      </c>
      <c r="G23" s="11">
        <v>11.9</v>
      </c>
      <c r="H23" s="11">
        <v>15.8</v>
      </c>
      <c r="I23" s="11">
        <v>1.6</v>
      </c>
      <c r="J23" s="11">
        <v>22.7</v>
      </c>
      <c r="K23" s="11">
        <v>12.8</v>
      </c>
      <c r="L23" s="11">
        <v>23.8</v>
      </c>
      <c r="M23" s="7">
        <v>9.23</v>
      </c>
      <c r="N23" s="4">
        <v>25</v>
      </c>
      <c r="O23" s="11">
        <v>6.4</v>
      </c>
      <c r="P23" s="11">
        <v>26.6</v>
      </c>
      <c r="Q23" s="11">
        <v>11.4</v>
      </c>
      <c r="R23" s="11">
        <v>2.8</v>
      </c>
      <c r="S23" s="11">
        <v>9.1</v>
      </c>
      <c r="T23" s="11">
        <v>11.2</v>
      </c>
      <c r="U23" s="11">
        <v>6.9</v>
      </c>
      <c r="V23" s="5">
        <v>45972.409467592595</v>
      </c>
      <c r="W23" s="5">
        <v>45972.409583333334</v>
      </c>
      <c r="X23" s="6">
        <v>1.1574075324460864E-4</v>
      </c>
    </row>
    <row r="24" spans="1:24" x14ac:dyDescent="0.3">
      <c r="A24" s="2">
        <v>24</v>
      </c>
      <c r="B24" t="s">
        <v>95</v>
      </c>
      <c r="C24" t="s">
        <v>24</v>
      </c>
      <c r="D24" t="s">
        <v>96</v>
      </c>
      <c r="E24" t="s">
        <v>26</v>
      </c>
      <c r="F24" t="s">
        <v>48</v>
      </c>
      <c r="G24" s="11">
        <v>12.7</v>
      </c>
      <c r="H24" s="11">
        <v>20</v>
      </c>
      <c r="I24" s="11">
        <v>1.4</v>
      </c>
      <c r="J24" s="11">
        <v>23.5</v>
      </c>
      <c r="K24" s="11">
        <v>10</v>
      </c>
      <c r="L24" s="11">
        <v>24.8</v>
      </c>
      <c r="M24" s="7">
        <v>9.3699999999999992</v>
      </c>
      <c r="N24" s="4">
        <v>25</v>
      </c>
      <c r="O24" s="11">
        <v>10.199999999999999</v>
      </c>
      <c r="P24" s="11">
        <v>32.799999999999997</v>
      </c>
      <c r="Q24" s="11">
        <v>14.1</v>
      </c>
      <c r="R24" s="11">
        <v>3.2</v>
      </c>
      <c r="S24" s="11">
        <v>13.3</v>
      </c>
      <c r="T24" s="11">
        <v>16</v>
      </c>
      <c r="U24" s="11">
        <v>10.4</v>
      </c>
      <c r="V24" s="5">
        <v>45972.409710648149</v>
      </c>
      <c r="W24" s="5">
        <v>45972.409837962965</v>
      </c>
      <c r="X24" s="6">
        <v>1.2731482274830341E-4</v>
      </c>
    </row>
    <row r="25" spans="1:24" x14ac:dyDescent="0.3">
      <c r="A25" s="2">
        <v>25</v>
      </c>
      <c r="B25" t="s">
        <v>97</v>
      </c>
      <c r="C25" t="s">
        <v>24</v>
      </c>
      <c r="D25" t="s">
        <v>98</v>
      </c>
      <c r="E25" t="s">
        <v>26</v>
      </c>
      <c r="F25" t="s">
        <v>48</v>
      </c>
      <c r="G25" s="11">
        <v>9</v>
      </c>
      <c r="H25" s="11">
        <v>12.3</v>
      </c>
      <c r="I25" s="11">
        <v>1.6</v>
      </c>
      <c r="J25" s="11">
        <v>25.8</v>
      </c>
      <c r="K25" s="11">
        <v>46.3</v>
      </c>
      <c r="L25" s="11">
        <v>36.700000000000003</v>
      </c>
      <c r="M25" s="7">
        <v>10.98</v>
      </c>
      <c r="N25" s="4">
        <v>25</v>
      </c>
      <c r="O25" s="11">
        <v>2.1</v>
      </c>
      <c r="P25" s="11">
        <v>11.2</v>
      </c>
      <c r="Q25" s="11">
        <v>4.9000000000000004</v>
      </c>
      <c r="R25" s="11">
        <v>0.4</v>
      </c>
      <c r="S25" s="11">
        <v>4.4000000000000004</v>
      </c>
      <c r="T25" s="11">
        <v>4.2</v>
      </c>
      <c r="U25" s="11">
        <v>3.8</v>
      </c>
      <c r="V25" s="5">
        <v>45972.410011574073</v>
      </c>
      <c r="W25" s="5">
        <v>45972.410127314812</v>
      </c>
      <c r="X25" s="6">
        <v>1.2731482274830341E-4</v>
      </c>
    </row>
    <row r="26" spans="1:24" x14ac:dyDescent="0.3">
      <c r="A26" s="2">
        <v>26</v>
      </c>
      <c r="B26" t="s">
        <v>99</v>
      </c>
      <c r="C26" t="s">
        <v>24</v>
      </c>
      <c r="D26" t="s">
        <v>100</v>
      </c>
      <c r="E26" t="s">
        <v>26</v>
      </c>
      <c r="F26" t="s">
        <v>48</v>
      </c>
      <c r="G26" s="11">
        <v>9.5</v>
      </c>
      <c r="H26" s="11">
        <v>12.3</v>
      </c>
      <c r="I26" s="11">
        <v>1.3</v>
      </c>
      <c r="J26" s="11">
        <v>27.8</v>
      </c>
      <c r="K26" s="11">
        <v>36.5</v>
      </c>
      <c r="L26" s="11">
        <v>35.1</v>
      </c>
      <c r="M26" s="7">
        <v>7.17</v>
      </c>
      <c r="N26" s="4">
        <v>25</v>
      </c>
      <c r="O26" s="11">
        <v>2</v>
      </c>
      <c r="P26" s="11">
        <v>10.3</v>
      </c>
      <c r="Q26" s="11">
        <v>3.6</v>
      </c>
      <c r="R26" s="11">
        <v>0.6</v>
      </c>
      <c r="S26" s="11">
        <v>3.7</v>
      </c>
      <c r="T26" s="11">
        <v>4</v>
      </c>
      <c r="U26" s="11">
        <v>2.4</v>
      </c>
      <c r="V26" s="5">
        <v>45972.410520833335</v>
      </c>
      <c r="W26" s="5">
        <v>45972.41064814815</v>
      </c>
      <c r="X26" s="6">
        <v>1.2731482274830341E-4</v>
      </c>
    </row>
    <row r="27" spans="1:24" x14ac:dyDescent="0.3">
      <c r="A27" s="2">
        <v>27</v>
      </c>
      <c r="B27" t="s">
        <v>101</v>
      </c>
      <c r="C27" t="s">
        <v>24</v>
      </c>
      <c r="D27" t="s">
        <v>102</v>
      </c>
      <c r="E27" t="s">
        <v>26</v>
      </c>
      <c r="F27" t="s">
        <v>48</v>
      </c>
      <c r="G27" s="11">
        <v>12.6</v>
      </c>
      <c r="H27" s="11">
        <v>25.6</v>
      </c>
      <c r="I27" s="11">
        <v>1.8</v>
      </c>
      <c r="J27" s="11">
        <v>15.9</v>
      </c>
      <c r="K27" s="11">
        <v>17.7</v>
      </c>
      <c r="L27" s="11">
        <v>22</v>
      </c>
      <c r="M27" s="7">
        <v>9.93</v>
      </c>
      <c r="N27" s="4">
        <v>25</v>
      </c>
      <c r="O27" s="11">
        <v>16</v>
      </c>
      <c r="P27" s="11">
        <v>15.2</v>
      </c>
      <c r="Q27" s="11">
        <v>7.9</v>
      </c>
      <c r="R27" s="11">
        <v>5.3</v>
      </c>
      <c r="S27" s="11">
        <v>7.7</v>
      </c>
      <c r="T27" s="11">
        <v>9.1</v>
      </c>
      <c r="U27" s="11">
        <v>18.3</v>
      </c>
      <c r="V27" s="5">
        <v>45972.410775462966</v>
      </c>
      <c r="W27" s="5">
        <v>45972.410902777781</v>
      </c>
      <c r="X27" s="6">
        <v>1.1574075324460864E-4</v>
      </c>
    </row>
    <row r="28" spans="1:24" x14ac:dyDescent="0.3">
      <c r="A28" s="2">
        <v>28</v>
      </c>
      <c r="B28" t="s">
        <v>103</v>
      </c>
      <c r="C28" t="s">
        <v>24</v>
      </c>
      <c r="D28" t="s">
        <v>104</v>
      </c>
      <c r="E28" t="s">
        <v>26</v>
      </c>
      <c r="F28" t="s">
        <v>48</v>
      </c>
      <c r="G28" s="11">
        <v>11.4</v>
      </c>
      <c r="H28" s="11">
        <v>13.7</v>
      </c>
      <c r="I28" s="11">
        <v>1.9</v>
      </c>
      <c r="J28" s="11">
        <v>18.100000000000001</v>
      </c>
      <c r="K28" s="11">
        <v>16.8</v>
      </c>
      <c r="L28" s="11">
        <v>21.6</v>
      </c>
      <c r="M28" s="7">
        <v>9.1300000000000008</v>
      </c>
      <c r="N28" s="4">
        <v>25</v>
      </c>
      <c r="O28" s="11">
        <v>6.4</v>
      </c>
      <c r="P28" s="11">
        <v>17.899999999999999</v>
      </c>
      <c r="Q28" s="11">
        <v>5.2</v>
      </c>
      <c r="R28" s="11">
        <v>5.4</v>
      </c>
      <c r="S28" s="11">
        <v>6.5</v>
      </c>
      <c r="T28" s="11">
        <v>6.9</v>
      </c>
      <c r="U28" s="11">
        <v>9.1999999999999993</v>
      </c>
      <c r="V28" s="5">
        <v>45972.41101851852</v>
      </c>
      <c r="W28" s="5">
        <v>45972.411145833335</v>
      </c>
      <c r="X28" s="6">
        <v>1.2731482274830341E-4</v>
      </c>
    </row>
    <row r="29" spans="1:24" x14ac:dyDescent="0.3">
      <c r="A29" s="2">
        <v>29</v>
      </c>
      <c r="B29" t="s">
        <v>105</v>
      </c>
      <c r="C29" t="s">
        <v>24</v>
      </c>
      <c r="D29" t="s">
        <v>106</v>
      </c>
      <c r="E29" t="s">
        <v>26</v>
      </c>
      <c r="F29" t="s">
        <v>48</v>
      </c>
      <c r="G29" s="11">
        <v>12.2</v>
      </c>
      <c r="H29" s="11">
        <v>16.5</v>
      </c>
      <c r="I29" s="11">
        <v>2</v>
      </c>
      <c r="J29" s="11">
        <v>17.600000000000001</v>
      </c>
      <c r="K29" s="11">
        <v>20.7</v>
      </c>
      <c r="L29" s="11">
        <v>23.4</v>
      </c>
      <c r="M29" s="7">
        <v>9.26</v>
      </c>
      <c r="N29" s="4">
        <v>25</v>
      </c>
      <c r="O29" s="11">
        <v>12.4</v>
      </c>
      <c r="P29" s="11">
        <v>23.4</v>
      </c>
      <c r="Q29" s="11">
        <v>8.1999999999999993</v>
      </c>
      <c r="R29" s="11">
        <v>5.0999999999999996</v>
      </c>
      <c r="S29" s="11">
        <v>8.1</v>
      </c>
      <c r="T29" s="11">
        <v>10.7</v>
      </c>
      <c r="U29" s="11">
        <v>17.7</v>
      </c>
      <c r="V29" s="5">
        <v>45972.411261574074</v>
      </c>
      <c r="W29" s="5">
        <v>45972.41138888889</v>
      </c>
      <c r="X29" s="6">
        <v>1.2731482274830341E-4</v>
      </c>
    </row>
    <row r="30" spans="1:24" x14ac:dyDescent="0.3">
      <c r="A30" s="2">
        <v>30</v>
      </c>
      <c r="B30" t="s">
        <v>107</v>
      </c>
      <c r="C30" t="s">
        <v>24</v>
      </c>
      <c r="D30" t="s">
        <v>108</v>
      </c>
      <c r="E30" t="s">
        <v>26</v>
      </c>
      <c r="F30" t="s">
        <v>48</v>
      </c>
      <c r="G30" s="11">
        <v>9.1</v>
      </c>
      <c r="H30" s="11">
        <v>6.6</v>
      </c>
      <c r="I30" s="11">
        <v>1.6</v>
      </c>
      <c r="J30" s="11">
        <v>27.5</v>
      </c>
      <c r="K30" s="11">
        <v>42.6</v>
      </c>
      <c r="L30" s="11">
        <v>35.5</v>
      </c>
      <c r="M30" s="7">
        <v>8.26</v>
      </c>
      <c r="N30" s="4">
        <v>25</v>
      </c>
      <c r="O30" s="11">
        <v>1.8</v>
      </c>
      <c r="P30" s="11">
        <v>4.9000000000000004</v>
      </c>
      <c r="Q30" s="11">
        <v>4.4000000000000004</v>
      </c>
      <c r="R30" s="11">
        <v>0.4</v>
      </c>
      <c r="S30" s="11">
        <v>3.4</v>
      </c>
      <c r="T30" s="11">
        <v>2.6</v>
      </c>
      <c r="U30" s="11">
        <v>2</v>
      </c>
      <c r="V30" s="5">
        <v>45972.411516203705</v>
      </c>
      <c r="W30" s="5">
        <v>45972.411631944444</v>
      </c>
      <c r="X30" s="6">
        <v>1.1574075324460864E-4</v>
      </c>
    </row>
    <row r="31" spans="1:24" x14ac:dyDescent="0.3">
      <c r="A31" s="2">
        <v>31</v>
      </c>
      <c r="B31" t="s">
        <v>109</v>
      </c>
      <c r="C31" t="s">
        <v>24</v>
      </c>
      <c r="D31" t="s">
        <v>56</v>
      </c>
      <c r="E31" t="s">
        <v>110</v>
      </c>
      <c r="F31" t="s">
        <v>48</v>
      </c>
      <c r="G31" s="11">
        <v>7.7</v>
      </c>
      <c r="H31" s="11">
        <v>2.6</v>
      </c>
      <c r="I31" s="11">
        <v>1.3</v>
      </c>
      <c r="J31" s="11">
        <v>28.2</v>
      </c>
      <c r="K31" s="11">
        <v>66</v>
      </c>
      <c r="L31" s="11">
        <v>34.6</v>
      </c>
      <c r="M31" s="7">
        <v>12.27</v>
      </c>
      <c r="N31" s="4">
        <v>25</v>
      </c>
      <c r="O31" s="11">
        <v>3.4</v>
      </c>
      <c r="P31" s="11">
        <v>4</v>
      </c>
      <c r="Q31" s="11">
        <v>5.9</v>
      </c>
      <c r="R31" s="11">
        <v>3.6</v>
      </c>
      <c r="S31" s="11">
        <v>9.3000000000000007</v>
      </c>
      <c r="T31" s="11">
        <v>2.4</v>
      </c>
      <c r="U31" s="11">
        <v>3.2</v>
      </c>
      <c r="V31" s="5">
        <v>45972.427581018521</v>
      </c>
      <c r="W31" s="5">
        <v>45972.427777777775</v>
      </c>
      <c r="X31" s="6">
        <v>2.0833333837799728E-4</v>
      </c>
    </row>
    <row r="32" spans="1:24" x14ac:dyDescent="0.3">
      <c r="A32" s="2">
        <v>32</v>
      </c>
      <c r="B32" t="s">
        <v>111</v>
      </c>
      <c r="C32" t="s">
        <v>24</v>
      </c>
      <c r="D32" t="s">
        <v>58</v>
      </c>
      <c r="E32" t="s">
        <v>26</v>
      </c>
      <c r="F32" t="s">
        <v>48</v>
      </c>
      <c r="G32" s="11">
        <v>10.3</v>
      </c>
      <c r="H32" s="11">
        <v>44.4</v>
      </c>
      <c r="I32" s="11">
        <v>2.5</v>
      </c>
      <c r="J32" s="11">
        <v>13.7</v>
      </c>
      <c r="K32" s="3" t="s">
        <v>54</v>
      </c>
      <c r="L32" s="11">
        <v>10.8</v>
      </c>
      <c r="M32" s="7">
        <v>11.59</v>
      </c>
      <c r="N32" s="4">
        <v>25</v>
      </c>
      <c r="O32" s="11">
        <v>23.5</v>
      </c>
      <c r="P32" s="3" t="s">
        <v>59</v>
      </c>
      <c r="Q32" s="11">
        <v>14.1</v>
      </c>
      <c r="R32" s="11">
        <v>4.5999999999999996</v>
      </c>
      <c r="S32" s="11">
        <v>43.7</v>
      </c>
      <c r="T32" s="11">
        <v>38</v>
      </c>
      <c r="U32" s="11">
        <v>27.1</v>
      </c>
      <c r="V32" s="5">
        <v>45972.429548611108</v>
      </c>
      <c r="W32" s="5">
        <v>45972.429675925923</v>
      </c>
      <c r="X32" s="6">
        <v>1.2731482274830341E-4</v>
      </c>
    </row>
    <row r="33" spans="1:24" x14ac:dyDescent="0.3">
      <c r="A33" s="2">
        <v>33</v>
      </c>
      <c r="B33" t="s">
        <v>112</v>
      </c>
      <c r="C33" t="s">
        <v>24</v>
      </c>
      <c r="D33" t="s">
        <v>61</v>
      </c>
      <c r="E33" t="s">
        <v>26</v>
      </c>
      <c r="F33" t="s">
        <v>48</v>
      </c>
      <c r="G33" s="11">
        <v>7.3</v>
      </c>
      <c r="H33" s="11">
        <v>22.1</v>
      </c>
      <c r="I33" s="11">
        <v>1.1000000000000001</v>
      </c>
      <c r="J33" s="11">
        <v>18</v>
      </c>
      <c r="K33" s="11">
        <v>12.3</v>
      </c>
      <c r="L33" s="11">
        <v>19.8</v>
      </c>
      <c r="M33" s="7">
        <v>10.07</v>
      </c>
      <c r="N33" s="4">
        <v>25</v>
      </c>
      <c r="O33" s="11">
        <v>5.0999999999999996</v>
      </c>
      <c r="P33" s="3" t="s">
        <v>59</v>
      </c>
      <c r="Q33" s="11">
        <v>12.4</v>
      </c>
      <c r="R33" s="11">
        <v>5.5</v>
      </c>
      <c r="S33" s="11">
        <v>11.7</v>
      </c>
      <c r="T33" s="11">
        <v>12.9</v>
      </c>
      <c r="U33" s="11">
        <v>17.100000000000001</v>
      </c>
      <c r="V33" s="5">
        <v>45972.429849537039</v>
      </c>
      <c r="W33" s="5">
        <v>45972.429965277777</v>
      </c>
      <c r="X33" s="6">
        <v>1.2731482274830341E-4</v>
      </c>
    </row>
    <row r="34" spans="1:24" x14ac:dyDescent="0.3">
      <c r="A34" s="2">
        <v>34</v>
      </c>
      <c r="B34" t="s">
        <v>113</v>
      </c>
      <c r="C34" t="s">
        <v>24</v>
      </c>
      <c r="D34" t="s">
        <v>63</v>
      </c>
      <c r="E34" t="s">
        <v>26</v>
      </c>
      <c r="F34" t="s">
        <v>48</v>
      </c>
      <c r="G34" s="11">
        <v>10.6</v>
      </c>
      <c r="H34" s="11">
        <v>26.2</v>
      </c>
      <c r="I34" s="11">
        <v>3.4</v>
      </c>
      <c r="J34" s="11">
        <v>13.1</v>
      </c>
      <c r="K34" s="3" t="s">
        <v>54</v>
      </c>
      <c r="L34" s="11">
        <v>8.9</v>
      </c>
      <c r="M34" s="7">
        <v>14.4</v>
      </c>
      <c r="N34" s="4">
        <v>25</v>
      </c>
      <c r="O34" s="11">
        <v>12.3</v>
      </c>
      <c r="P34" s="11">
        <v>40.799999999999997</v>
      </c>
      <c r="Q34" s="11">
        <v>20.399999999999999</v>
      </c>
      <c r="R34" s="11">
        <v>9</v>
      </c>
      <c r="S34" s="11">
        <v>37.299999999999997</v>
      </c>
      <c r="T34" s="11">
        <v>36.6</v>
      </c>
      <c r="U34" s="11">
        <v>21.4</v>
      </c>
      <c r="V34" s="5">
        <v>45972.430115740739</v>
      </c>
      <c r="W34" s="5">
        <v>45972.430243055554</v>
      </c>
      <c r="X34" s="6">
        <v>1.1574075324460864E-4</v>
      </c>
    </row>
    <row r="35" spans="1:24" x14ac:dyDescent="0.3">
      <c r="A35" s="2">
        <v>35</v>
      </c>
      <c r="B35" t="s">
        <v>114</v>
      </c>
      <c r="C35" t="s">
        <v>24</v>
      </c>
      <c r="D35" t="s">
        <v>65</v>
      </c>
      <c r="E35" t="s">
        <v>26</v>
      </c>
      <c r="F35" t="s">
        <v>48</v>
      </c>
      <c r="G35" s="11">
        <v>10.4</v>
      </c>
      <c r="H35" s="11">
        <v>10.5</v>
      </c>
      <c r="I35" s="11">
        <v>1.7</v>
      </c>
      <c r="J35" s="11">
        <v>25.9</v>
      </c>
      <c r="K35" s="11">
        <v>34.5</v>
      </c>
      <c r="L35" s="11">
        <v>29.3</v>
      </c>
      <c r="M35" s="7">
        <v>8.48</v>
      </c>
      <c r="N35" s="4">
        <v>25</v>
      </c>
      <c r="O35" s="11">
        <v>3.9</v>
      </c>
      <c r="P35" s="3" t="s">
        <v>59</v>
      </c>
      <c r="Q35" s="11">
        <v>8.9</v>
      </c>
      <c r="R35" s="11">
        <v>1.8</v>
      </c>
      <c r="S35" s="11">
        <v>4.3</v>
      </c>
      <c r="T35" s="11">
        <v>5.5</v>
      </c>
      <c r="U35" s="11">
        <v>5.7</v>
      </c>
      <c r="V35" s="5">
        <v>45972.430393518516</v>
      </c>
      <c r="W35" s="5">
        <v>45972.430509259262</v>
      </c>
      <c r="X35" s="6">
        <v>1.1574075324460864E-4</v>
      </c>
    </row>
    <row r="36" spans="1:24" x14ac:dyDescent="0.3">
      <c r="A36" s="2">
        <v>36</v>
      </c>
      <c r="B36" t="s">
        <v>115</v>
      </c>
      <c r="C36" t="s">
        <v>24</v>
      </c>
      <c r="D36" t="s">
        <v>67</v>
      </c>
      <c r="E36" t="s">
        <v>26</v>
      </c>
      <c r="F36" t="s">
        <v>48</v>
      </c>
      <c r="G36" s="11">
        <v>9.8000000000000007</v>
      </c>
      <c r="H36" s="11">
        <v>13.6</v>
      </c>
      <c r="I36" s="11">
        <v>4.7</v>
      </c>
      <c r="J36" s="11">
        <v>14.9</v>
      </c>
      <c r="K36" s="3" t="s">
        <v>54</v>
      </c>
      <c r="L36" s="11">
        <v>22.9</v>
      </c>
      <c r="M36" s="7">
        <v>20.99</v>
      </c>
      <c r="N36" s="4">
        <v>25</v>
      </c>
      <c r="O36" s="11">
        <v>21.2</v>
      </c>
      <c r="P36" s="3" t="s">
        <v>59</v>
      </c>
      <c r="Q36" s="3" t="s">
        <v>68</v>
      </c>
      <c r="R36" s="11">
        <v>7.7</v>
      </c>
      <c r="S36" s="11">
        <v>26.2</v>
      </c>
      <c r="T36" s="11">
        <v>42.6</v>
      </c>
      <c r="U36" s="11">
        <v>38.1</v>
      </c>
      <c r="V36" s="5">
        <v>45972.430648148147</v>
      </c>
      <c r="W36" s="5">
        <v>45972.430775462963</v>
      </c>
      <c r="X36" s="6">
        <v>1.2731482274830341E-4</v>
      </c>
    </row>
    <row r="37" spans="1:24" x14ac:dyDescent="0.3">
      <c r="A37" s="2">
        <v>37</v>
      </c>
      <c r="B37" t="s">
        <v>116</v>
      </c>
      <c r="C37" t="s">
        <v>24</v>
      </c>
      <c r="D37" t="s">
        <v>70</v>
      </c>
      <c r="E37" t="s">
        <v>26</v>
      </c>
      <c r="F37" t="s">
        <v>48</v>
      </c>
      <c r="G37" s="11">
        <v>9.8000000000000007</v>
      </c>
      <c r="H37" s="11">
        <v>20.7</v>
      </c>
      <c r="I37" s="11">
        <v>2.7</v>
      </c>
      <c r="J37" s="11">
        <v>16.399999999999999</v>
      </c>
      <c r="K37" s="3" t="s">
        <v>54</v>
      </c>
      <c r="L37" s="11">
        <v>16.3</v>
      </c>
      <c r="M37" s="7">
        <v>12.29</v>
      </c>
      <c r="N37" s="4">
        <v>25</v>
      </c>
      <c r="O37" s="11">
        <v>5.3</v>
      </c>
      <c r="P37" s="11">
        <v>16.5</v>
      </c>
      <c r="Q37" s="11">
        <v>9</v>
      </c>
      <c r="R37" s="11">
        <v>5.3</v>
      </c>
      <c r="S37" s="11">
        <v>13.5</v>
      </c>
      <c r="T37" s="11">
        <v>13.5</v>
      </c>
      <c r="U37" s="11">
        <v>9.4</v>
      </c>
      <c r="V37" s="5">
        <v>45972.430949074071</v>
      </c>
      <c r="W37" s="5">
        <v>45972.431064814817</v>
      </c>
      <c r="X37" s="6">
        <v>1.1574075324460864E-4</v>
      </c>
    </row>
    <row r="38" spans="1:24" x14ac:dyDescent="0.3">
      <c r="A38" s="2">
        <v>38</v>
      </c>
      <c r="B38" t="s">
        <v>117</v>
      </c>
      <c r="C38" t="s">
        <v>24</v>
      </c>
      <c r="D38" t="s">
        <v>72</v>
      </c>
      <c r="E38" t="s">
        <v>26</v>
      </c>
      <c r="F38" t="s">
        <v>48</v>
      </c>
      <c r="G38" s="11">
        <v>9.1</v>
      </c>
      <c r="H38" s="3" t="s">
        <v>59</v>
      </c>
      <c r="I38" s="11">
        <v>2.2999999999999998</v>
      </c>
      <c r="J38" s="11">
        <v>16.3</v>
      </c>
      <c r="K38" s="3" t="s">
        <v>54</v>
      </c>
      <c r="L38" s="11">
        <v>12.4</v>
      </c>
      <c r="M38" s="7">
        <v>13.81</v>
      </c>
      <c r="N38" s="4">
        <v>25</v>
      </c>
      <c r="O38" s="11">
        <v>54</v>
      </c>
      <c r="P38" s="3" t="s">
        <v>59</v>
      </c>
      <c r="Q38" s="11">
        <v>23.1</v>
      </c>
      <c r="R38" s="11">
        <v>5.0999999999999996</v>
      </c>
      <c r="S38" s="11">
        <v>73.099999999999994</v>
      </c>
      <c r="T38" s="11">
        <v>72.099999999999994</v>
      </c>
      <c r="U38" s="11">
        <v>53.1</v>
      </c>
      <c r="V38" s="5">
        <v>45972.431203703702</v>
      </c>
      <c r="W38" s="5">
        <v>45972.431319444448</v>
      </c>
      <c r="X38" s="6">
        <v>1.2731482274830341E-4</v>
      </c>
    </row>
    <row r="39" spans="1:24" x14ac:dyDescent="0.3">
      <c r="A39" s="2">
        <v>39</v>
      </c>
      <c r="B39" t="s">
        <v>118</v>
      </c>
      <c r="C39" t="s">
        <v>24</v>
      </c>
      <c r="D39" t="s">
        <v>74</v>
      </c>
      <c r="E39" t="s">
        <v>26</v>
      </c>
      <c r="F39" t="s">
        <v>48</v>
      </c>
      <c r="G39" s="11">
        <v>10.8</v>
      </c>
      <c r="H39" s="11">
        <v>22.2</v>
      </c>
      <c r="I39" s="11">
        <v>2.2999999999999998</v>
      </c>
      <c r="J39" s="11">
        <v>19.899999999999999</v>
      </c>
      <c r="K39" s="11">
        <v>15.4</v>
      </c>
      <c r="L39" s="11">
        <v>24.2</v>
      </c>
      <c r="M39" s="7">
        <v>10.76</v>
      </c>
      <c r="N39" s="4">
        <v>25</v>
      </c>
      <c r="O39" s="11">
        <v>6.9</v>
      </c>
      <c r="P39" s="11">
        <v>17.2</v>
      </c>
      <c r="Q39" s="11">
        <v>7.2</v>
      </c>
      <c r="R39" s="11">
        <v>2</v>
      </c>
      <c r="S39" s="11">
        <v>5.7</v>
      </c>
      <c r="T39" s="11">
        <v>7.7</v>
      </c>
      <c r="U39" s="11">
        <v>10.8</v>
      </c>
      <c r="V39" s="5">
        <v>45972.431458333333</v>
      </c>
      <c r="W39" s="5">
        <v>45972.431574074071</v>
      </c>
      <c r="X39" s="6">
        <v>1.2731482274830341E-4</v>
      </c>
    </row>
    <row r="40" spans="1:24" x14ac:dyDescent="0.3">
      <c r="A40" s="2">
        <v>40</v>
      </c>
      <c r="B40" t="s">
        <v>119</v>
      </c>
      <c r="C40" t="s">
        <v>24</v>
      </c>
      <c r="D40" t="s">
        <v>76</v>
      </c>
      <c r="E40" t="s">
        <v>26</v>
      </c>
      <c r="F40" t="s">
        <v>48</v>
      </c>
      <c r="G40" s="11">
        <v>7</v>
      </c>
      <c r="H40" s="11">
        <v>2.2000000000000002</v>
      </c>
      <c r="I40" s="11">
        <v>1</v>
      </c>
      <c r="J40" s="11">
        <v>29.7</v>
      </c>
      <c r="K40" s="11">
        <v>65</v>
      </c>
      <c r="L40" s="11">
        <v>38.1</v>
      </c>
      <c r="M40" s="7">
        <v>11.39</v>
      </c>
      <c r="N40" s="4">
        <v>25</v>
      </c>
      <c r="O40" s="11">
        <v>1.4</v>
      </c>
      <c r="P40" s="11">
        <v>3.1</v>
      </c>
      <c r="Q40" s="11">
        <v>2.7</v>
      </c>
      <c r="R40" s="11">
        <v>1.3</v>
      </c>
      <c r="S40" s="11">
        <v>4.7</v>
      </c>
      <c r="T40" s="11">
        <v>1.4</v>
      </c>
      <c r="U40" s="11">
        <v>1.5</v>
      </c>
      <c r="V40" s="5">
        <v>45972.431712962964</v>
      </c>
      <c r="W40" s="5">
        <v>45972.431840277779</v>
      </c>
      <c r="X40" s="6">
        <v>1.1574075324460864E-4</v>
      </c>
    </row>
    <row r="41" spans="1:24" x14ac:dyDescent="0.3">
      <c r="A41" s="2">
        <v>41</v>
      </c>
      <c r="B41" t="s">
        <v>120</v>
      </c>
      <c r="C41" t="s">
        <v>24</v>
      </c>
      <c r="D41" t="s">
        <v>78</v>
      </c>
      <c r="E41" t="s">
        <v>26</v>
      </c>
      <c r="F41" t="s">
        <v>48</v>
      </c>
      <c r="G41" s="11">
        <v>10.7</v>
      </c>
      <c r="H41" s="11">
        <v>17</v>
      </c>
      <c r="I41" s="11">
        <v>2.2999999999999998</v>
      </c>
      <c r="J41" s="11">
        <v>17.899999999999999</v>
      </c>
      <c r="K41" s="11">
        <v>18.3</v>
      </c>
      <c r="L41" s="11">
        <v>22.3</v>
      </c>
      <c r="M41" s="7">
        <v>11.97</v>
      </c>
      <c r="N41" s="4">
        <v>25</v>
      </c>
      <c r="O41" s="11">
        <v>6.9</v>
      </c>
      <c r="P41" s="11">
        <v>16.3</v>
      </c>
      <c r="Q41" s="11">
        <v>7.4</v>
      </c>
      <c r="R41" s="11">
        <v>4.8</v>
      </c>
      <c r="S41" s="11">
        <v>6.1</v>
      </c>
      <c r="T41" s="11">
        <v>7.7</v>
      </c>
      <c r="U41" s="11">
        <v>11.7</v>
      </c>
      <c r="V41" s="5">
        <v>45972.431979166664</v>
      </c>
      <c r="W41" s="5">
        <v>45972.43209490741</v>
      </c>
      <c r="X41" s="6">
        <v>1.1574075324460864E-4</v>
      </c>
    </row>
    <row r="42" spans="1:24" x14ac:dyDescent="0.3">
      <c r="A42" s="2">
        <v>42</v>
      </c>
      <c r="B42" t="s">
        <v>121</v>
      </c>
      <c r="C42" t="s">
        <v>24</v>
      </c>
      <c r="D42" t="s">
        <v>80</v>
      </c>
      <c r="E42" t="s">
        <v>26</v>
      </c>
      <c r="F42" t="s">
        <v>48</v>
      </c>
      <c r="G42" s="11">
        <v>9.3000000000000007</v>
      </c>
      <c r="H42" s="11">
        <v>7.8</v>
      </c>
      <c r="I42" s="11">
        <v>1.4</v>
      </c>
      <c r="J42" s="11">
        <v>28.6</v>
      </c>
      <c r="K42" s="11">
        <v>43</v>
      </c>
      <c r="L42" s="11">
        <v>35.700000000000003</v>
      </c>
      <c r="M42" s="7">
        <v>9.64</v>
      </c>
      <c r="N42" s="4">
        <v>25</v>
      </c>
      <c r="O42" s="11">
        <v>1.6</v>
      </c>
      <c r="P42" s="11">
        <v>12.1</v>
      </c>
      <c r="Q42" s="11">
        <v>4.2</v>
      </c>
      <c r="R42" s="11">
        <v>0.3</v>
      </c>
      <c r="S42" s="11">
        <v>4</v>
      </c>
      <c r="T42" s="11">
        <v>3.6</v>
      </c>
      <c r="U42" s="11">
        <v>2.9</v>
      </c>
      <c r="V42" s="5">
        <v>45972.432245370372</v>
      </c>
      <c r="W42" s="5">
        <v>45972.43236111111</v>
      </c>
      <c r="X42" s="6">
        <v>1.2731482274830341E-4</v>
      </c>
    </row>
    <row r="43" spans="1:24" x14ac:dyDescent="0.3">
      <c r="A43" s="2">
        <v>43</v>
      </c>
      <c r="B43" t="s">
        <v>122</v>
      </c>
      <c r="C43" t="s">
        <v>24</v>
      </c>
      <c r="D43" t="s">
        <v>82</v>
      </c>
      <c r="E43" t="s">
        <v>26</v>
      </c>
      <c r="F43" t="s">
        <v>48</v>
      </c>
      <c r="G43" s="11">
        <v>12.1</v>
      </c>
      <c r="H43" s="11">
        <v>26.7</v>
      </c>
      <c r="I43" s="11">
        <v>1.8</v>
      </c>
      <c r="J43" s="11">
        <v>16.2</v>
      </c>
      <c r="K43" s="11">
        <v>15.9</v>
      </c>
      <c r="L43" s="11">
        <v>21.4</v>
      </c>
      <c r="M43" s="7">
        <v>10.91</v>
      </c>
      <c r="N43" s="4">
        <v>25</v>
      </c>
      <c r="O43" s="11">
        <v>12.6</v>
      </c>
      <c r="P43" s="11">
        <v>13.7</v>
      </c>
      <c r="Q43" s="11">
        <v>6.7</v>
      </c>
      <c r="R43" s="11">
        <v>4.5999999999999996</v>
      </c>
      <c r="S43" s="11">
        <v>6.2</v>
      </c>
      <c r="T43" s="11">
        <v>7.5</v>
      </c>
      <c r="U43" s="11">
        <v>14.4</v>
      </c>
      <c r="V43" s="5">
        <v>45972.432488425926</v>
      </c>
      <c r="W43" s="5">
        <v>45972.432615740741</v>
      </c>
      <c r="X43" s="6">
        <v>1.1574075324460864E-4</v>
      </c>
    </row>
    <row r="44" spans="1:24" x14ac:dyDescent="0.3">
      <c r="A44" s="2">
        <v>44</v>
      </c>
      <c r="B44" t="s">
        <v>123</v>
      </c>
      <c r="C44" t="s">
        <v>24</v>
      </c>
      <c r="D44" t="s">
        <v>84</v>
      </c>
      <c r="E44" t="s">
        <v>26</v>
      </c>
      <c r="F44" t="s">
        <v>48</v>
      </c>
      <c r="G44" s="11">
        <v>9.6999999999999993</v>
      </c>
      <c r="H44" s="11">
        <v>9.6</v>
      </c>
      <c r="I44" s="11">
        <v>2.2000000000000002</v>
      </c>
      <c r="J44" s="11">
        <v>24.3</v>
      </c>
      <c r="K44" s="11">
        <v>24</v>
      </c>
      <c r="L44" s="11">
        <v>25.5</v>
      </c>
      <c r="M44" s="7">
        <v>9.19</v>
      </c>
      <c r="N44" s="4">
        <v>25</v>
      </c>
      <c r="O44" s="11">
        <v>3.7</v>
      </c>
      <c r="P44" s="11">
        <v>50</v>
      </c>
      <c r="Q44" s="11">
        <v>10.7</v>
      </c>
      <c r="R44" s="11">
        <v>3</v>
      </c>
      <c r="S44" s="11">
        <v>4.0999999999999996</v>
      </c>
      <c r="T44" s="11">
        <v>5.0999999999999996</v>
      </c>
      <c r="U44" s="11">
        <v>5</v>
      </c>
      <c r="V44" s="5">
        <v>45972.432766203703</v>
      </c>
      <c r="W44" s="5">
        <v>45972.432893518519</v>
      </c>
      <c r="X44" s="6">
        <v>1.2731482274830341E-4</v>
      </c>
    </row>
    <row r="45" spans="1:24" x14ac:dyDescent="0.3">
      <c r="A45" s="2">
        <v>45</v>
      </c>
      <c r="B45" t="s">
        <v>124</v>
      </c>
      <c r="C45" t="s">
        <v>24</v>
      </c>
      <c r="D45" t="s">
        <v>86</v>
      </c>
      <c r="E45" t="s">
        <v>26</v>
      </c>
      <c r="F45" t="s">
        <v>48</v>
      </c>
      <c r="G45" s="11">
        <v>10.9</v>
      </c>
      <c r="H45" s="11">
        <v>21.6</v>
      </c>
      <c r="I45" s="11">
        <v>1.8</v>
      </c>
      <c r="J45" s="11">
        <v>24.9</v>
      </c>
      <c r="K45" s="11">
        <v>8.8000000000000007</v>
      </c>
      <c r="L45" s="11">
        <v>27</v>
      </c>
      <c r="M45" s="7">
        <v>11.36</v>
      </c>
      <c r="N45" s="4">
        <v>25</v>
      </c>
      <c r="O45" s="11">
        <v>11.2</v>
      </c>
      <c r="P45" s="11">
        <v>33.6</v>
      </c>
      <c r="Q45" s="11">
        <v>21.3</v>
      </c>
      <c r="R45" s="11">
        <v>3.6</v>
      </c>
      <c r="S45" s="11">
        <v>17.100000000000001</v>
      </c>
      <c r="T45" s="11">
        <v>16.7</v>
      </c>
      <c r="U45" s="11">
        <v>9.5</v>
      </c>
      <c r="V45" s="5">
        <v>45972.433078703703</v>
      </c>
      <c r="W45" s="5">
        <v>45972.433206018519</v>
      </c>
      <c r="X45" s="6">
        <v>1.2731482274830341E-4</v>
      </c>
    </row>
    <row r="46" spans="1:24" x14ac:dyDescent="0.3">
      <c r="A46" s="2">
        <v>46</v>
      </c>
      <c r="B46" t="s">
        <v>125</v>
      </c>
      <c r="C46" t="s">
        <v>24</v>
      </c>
      <c r="D46" t="s">
        <v>88</v>
      </c>
      <c r="E46" t="s">
        <v>26</v>
      </c>
      <c r="F46" t="s">
        <v>48</v>
      </c>
      <c r="G46" s="11">
        <v>9.3000000000000007</v>
      </c>
      <c r="H46" s="11">
        <v>23.1</v>
      </c>
      <c r="I46" s="11">
        <v>4.0999999999999996</v>
      </c>
      <c r="J46" s="11">
        <v>17.3</v>
      </c>
      <c r="K46" s="3" t="s">
        <v>54</v>
      </c>
      <c r="L46" s="11">
        <v>18.5</v>
      </c>
      <c r="M46" s="7">
        <v>12.42</v>
      </c>
      <c r="N46" s="4">
        <v>25</v>
      </c>
      <c r="O46" s="11">
        <v>5.8</v>
      </c>
      <c r="P46" s="11">
        <v>46.3</v>
      </c>
      <c r="Q46" s="11">
        <v>31.5</v>
      </c>
      <c r="R46" s="11">
        <v>2.2999999999999998</v>
      </c>
      <c r="S46" s="11">
        <v>23.3</v>
      </c>
      <c r="T46" s="11">
        <v>26.4</v>
      </c>
      <c r="U46" s="11">
        <v>10.9</v>
      </c>
      <c r="V46" s="5">
        <v>45972.433425925927</v>
      </c>
      <c r="W46" s="5">
        <v>45972.433553240742</v>
      </c>
      <c r="X46" s="6">
        <v>1.1574075324460864E-4</v>
      </c>
    </row>
    <row r="47" spans="1:24" x14ac:dyDescent="0.3">
      <c r="A47" s="2">
        <v>47</v>
      </c>
      <c r="B47" t="s">
        <v>126</v>
      </c>
      <c r="C47" t="s">
        <v>24</v>
      </c>
      <c r="D47" t="s">
        <v>90</v>
      </c>
      <c r="E47" t="s">
        <v>26</v>
      </c>
      <c r="F47" t="s">
        <v>48</v>
      </c>
      <c r="G47" s="11">
        <v>11.5</v>
      </c>
      <c r="H47" s="11">
        <v>19.5</v>
      </c>
      <c r="I47" s="11">
        <v>1.7</v>
      </c>
      <c r="J47" s="11">
        <v>21.9</v>
      </c>
      <c r="K47" s="11">
        <v>5.7</v>
      </c>
      <c r="L47" s="11">
        <v>23.2</v>
      </c>
      <c r="M47" s="7">
        <v>11.65</v>
      </c>
      <c r="N47" s="4">
        <v>25</v>
      </c>
      <c r="O47" s="11">
        <v>7.3</v>
      </c>
      <c r="P47" s="11">
        <v>21.4</v>
      </c>
      <c r="Q47" s="11">
        <v>7.3</v>
      </c>
      <c r="R47" s="11">
        <v>2</v>
      </c>
      <c r="S47" s="11">
        <v>8.8000000000000007</v>
      </c>
      <c r="T47" s="11">
        <v>12.7</v>
      </c>
      <c r="U47" s="11">
        <v>9.6</v>
      </c>
      <c r="V47" s="5">
        <v>45972.433680555558</v>
      </c>
      <c r="W47" s="5">
        <v>45972.433807870373</v>
      </c>
      <c r="X47" s="6">
        <v>1.2731482274830341E-4</v>
      </c>
    </row>
    <row r="48" spans="1:24" x14ac:dyDescent="0.3">
      <c r="A48" s="2">
        <v>48</v>
      </c>
      <c r="B48" t="s">
        <v>127</v>
      </c>
      <c r="C48" t="s">
        <v>24</v>
      </c>
      <c r="D48" t="s">
        <v>92</v>
      </c>
      <c r="E48" t="s">
        <v>26</v>
      </c>
      <c r="F48" t="s">
        <v>48</v>
      </c>
      <c r="G48" s="11">
        <v>7.8</v>
      </c>
      <c r="H48" s="11">
        <v>16.899999999999999</v>
      </c>
      <c r="I48" s="11">
        <v>1.4</v>
      </c>
      <c r="J48" s="11">
        <v>26.3</v>
      </c>
      <c r="K48" s="11">
        <v>33.700000000000003</v>
      </c>
      <c r="L48" s="11">
        <v>30.8</v>
      </c>
      <c r="M48" s="7">
        <v>11.23</v>
      </c>
      <c r="N48" s="4">
        <v>25</v>
      </c>
      <c r="O48" s="11">
        <v>1.5</v>
      </c>
      <c r="P48" s="11">
        <v>10.199999999999999</v>
      </c>
      <c r="Q48" s="11">
        <v>2.5</v>
      </c>
      <c r="R48" s="11">
        <v>1</v>
      </c>
      <c r="S48" s="11">
        <v>2.9</v>
      </c>
      <c r="T48" s="11">
        <v>1.9</v>
      </c>
      <c r="U48" s="11">
        <v>2.1</v>
      </c>
      <c r="V48" s="5">
        <v>45972.433958333335</v>
      </c>
      <c r="W48" s="5">
        <v>45972.434074074074</v>
      </c>
      <c r="X48" s="6">
        <v>1.1574075324460864E-4</v>
      </c>
    </row>
    <row r="49" spans="1:24" x14ac:dyDescent="0.3">
      <c r="A49" s="2">
        <v>49</v>
      </c>
      <c r="B49" t="s">
        <v>128</v>
      </c>
      <c r="C49" t="s">
        <v>24</v>
      </c>
      <c r="D49" t="s">
        <v>94</v>
      </c>
      <c r="E49" t="s">
        <v>26</v>
      </c>
      <c r="F49" t="s">
        <v>48</v>
      </c>
      <c r="G49" s="11">
        <v>11.4</v>
      </c>
      <c r="H49" s="11">
        <v>16.7</v>
      </c>
      <c r="I49" s="11">
        <v>1.6</v>
      </c>
      <c r="J49" s="11">
        <v>22.5</v>
      </c>
      <c r="K49" s="11">
        <v>14.4</v>
      </c>
      <c r="L49" s="11">
        <v>23.3</v>
      </c>
      <c r="M49" s="7">
        <v>10.58</v>
      </c>
      <c r="N49" s="4">
        <v>25</v>
      </c>
      <c r="O49" s="11">
        <v>5</v>
      </c>
      <c r="P49" s="11">
        <v>25.5</v>
      </c>
      <c r="Q49" s="11">
        <v>10.3</v>
      </c>
      <c r="R49" s="11">
        <v>2.7</v>
      </c>
      <c r="S49" s="11">
        <v>8.1</v>
      </c>
      <c r="T49" s="11">
        <v>8.9</v>
      </c>
      <c r="U49" s="11">
        <v>5.6</v>
      </c>
      <c r="V49" s="5">
        <v>45972.434224537035</v>
      </c>
      <c r="W49" s="5">
        <v>45972.434351851851</v>
      </c>
      <c r="X49" s="6">
        <v>1.2731482274830341E-4</v>
      </c>
    </row>
    <row r="50" spans="1:24" x14ac:dyDescent="0.3">
      <c r="A50" s="2">
        <v>50</v>
      </c>
      <c r="B50" t="s">
        <v>129</v>
      </c>
      <c r="C50" t="s">
        <v>24</v>
      </c>
      <c r="D50" t="s">
        <v>96</v>
      </c>
      <c r="E50" t="s">
        <v>26</v>
      </c>
      <c r="F50" t="s">
        <v>48</v>
      </c>
      <c r="G50" s="11">
        <v>12.3</v>
      </c>
      <c r="H50" s="11">
        <v>20.8</v>
      </c>
      <c r="I50" s="11">
        <v>1.4</v>
      </c>
      <c r="J50" s="11">
        <v>23.4</v>
      </c>
      <c r="K50" s="11">
        <v>11.2</v>
      </c>
      <c r="L50" s="11">
        <v>24.2</v>
      </c>
      <c r="M50" s="7">
        <v>10.47</v>
      </c>
      <c r="N50" s="4">
        <v>25</v>
      </c>
      <c r="O50" s="11">
        <v>8.5</v>
      </c>
      <c r="P50" s="11">
        <v>32.1</v>
      </c>
      <c r="Q50" s="11">
        <v>13.1</v>
      </c>
      <c r="R50" s="11">
        <v>3.2</v>
      </c>
      <c r="S50" s="11">
        <v>11.9</v>
      </c>
      <c r="T50" s="11">
        <v>13.3</v>
      </c>
      <c r="U50" s="11">
        <v>8.6</v>
      </c>
      <c r="V50" s="5">
        <v>45972.434490740743</v>
      </c>
      <c r="W50" s="5">
        <v>45972.434618055559</v>
      </c>
      <c r="X50" s="6">
        <v>1.2731482274830341E-4</v>
      </c>
    </row>
    <row r="51" spans="1:24" x14ac:dyDescent="0.3">
      <c r="A51" s="2">
        <v>51</v>
      </c>
      <c r="B51" t="s">
        <v>130</v>
      </c>
      <c r="C51" t="s">
        <v>24</v>
      </c>
      <c r="D51" t="s">
        <v>98</v>
      </c>
      <c r="E51" t="s">
        <v>26</v>
      </c>
      <c r="F51" t="s">
        <v>48</v>
      </c>
      <c r="G51" s="11">
        <v>8.5</v>
      </c>
      <c r="H51" s="11">
        <v>13.7</v>
      </c>
      <c r="I51" s="11">
        <v>1.6</v>
      </c>
      <c r="J51" s="11">
        <v>25.6</v>
      </c>
      <c r="K51" s="11">
        <v>47.2</v>
      </c>
      <c r="L51" s="11">
        <v>35.4</v>
      </c>
      <c r="M51" s="7">
        <v>12.51</v>
      </c>
      <c r="N51" s="4">
        <v>25</v>
      </c>
      <c r="O51" s="11">
        <v>1.9</v>
      </c>
      <c r="P51" s="11">
        <v>12</v>
      </c>
      <c r="Q51" s="11">
        <v>4.3</v>
      </c>
      <c r="R51" s="11">
        <v>0.6</v>
      </c>
      <c r="S51" s="11">
        <v>3.9</v>
      </c>
      <c r="T51" s="11">
        <v>4.2</v>
      </c>
      <c r="U51" s="11">
        <v>4.8</v>
      </c>
      <c r="V51" s="5">
        <v>45972.434756944444</v>
      </c>
      <c r="W51" s="5">
        <v>45972.434884259259</v>
      </c>
      <c r="X51" s="6">
        <v>1.2731482274830341E-4</v>
      </c>
    </row>
    <row r="52" spans="1:24" x14ac:dyDescent="0.3">
      <c r="A52" s="2">
        <v>52</v>
      </c>
      <c r="B52" t="s">
        <v>131</v>
      </c>
      <c r="C52" t="s">
        <v>24</v>
      </c>
      <c r="D52" t="s">
        <v>100</v>
      </c>
      <c r="E52" t="s">
        <v>26</v>
      </c>
      <c r="F52" t="s">
        <v>48</v>
      </c>
      <c r="G52" s="11">
        <v>8.5</v>
      </c>
      <c r="H52" s="11">
        <v>14.6</v>
      </c>
      <c r="I52" s="11">
        <v>1.3</v>
      </c>
      <c r="J52" s="11">
        <v>27.9</v>
      </c>
      <c r="K52" s="11">
        <v>38.1</v>
      </c>
      <c r="L52" s="11">
        <v>33.700000000000003</v>
      </c>
      <c r="M52" s="7">
        <v>9.91</v>
      </c>
      <c r="N52" s="4">
        <v>25</v>
      </c>
      <c r="O52" s="11">
        <v>2.1</v>
      </c>
      <c r="P52" s="11">
        <v>14.8</v>
      </c>
      <c r="Q52" s="11">
        <v>3.7</v>
      </c>
      <c r="R52" s="11">
        <v>1</v>
      </c>
      <c r="S52" s="11">
        <v>4.2</v>
      </c>
      <c r="T52" s="11">
        <v>3.5</v>
      </c>
      <c r="U52" s="11">
        <v>3.1</v>
      </c>
      <c r="V52" s="5">
        <v>45972.435046296298</v>
      </c>
      <c r="W52" s="5">
        <v>45972.435173611113</v>
      </c>
      <c r="X52" s="6">
        <v>1.1574075324460864E-4</v>
      </c>
    </row>
    <row r="53" spans="1:24" x14ac:dyDescent="0.3">
      <c r="A53" s="2">
        <v>53</v>
      </c>
      <c r="B53" t="s">
        <v>132</v>
      </c>
      <c r="C53" t="s">
        <v>24</v>
      </c>
      <c r="D53" t="s">
        <v>102</v>
      </c>
      <c r="E53" t="s">
        <v>26</v>
      </c>
      <c r="F53" t="s">
        <v>48</v>
      </c>
      <c r="G53" s="11">
        <v>12.2</v>
      </c>
      <c r="H53" s="11">
        <v>25.9</v>
      </c>
      <c r="I53" s="11">
        <v>1.7</v>
      </c>
      <c r="J53" s="11">
        <v>16</v>
      </c>
      <c r="K53" s="11">
        <v>18.899999999999999</v>
      </c>
      <c r="L53" s="11">
        <v>21.7</v>
      </c>
      <c r="M53" s="7">
        <v>11.04</v>
      </c>
      <c r="N53" s="4">
        <v>25</v>
      </c>
      <c r="O53" s="11">
        <v>13.6</v>
      </c>
      <c r="P53" s="11">
        <v>14.3</v>
      </c>
      <c r="Q53" s="11">
        <v>7.2</v>
      </c>
      <c r="R53" s="11">
        <v>5</v>
      </c>
      <c r="S53" s="11">
        <v>6.6</v>
      </c>
      <c r="T53" s="11">
        <v>7.6</v>
      </c>
      <c r="U53" s="11">
        <v>15.9</v>
      </c>
      <c r="V53" s="5">
        <v>45972.435300925928</v>
      </c>
      <c r="W53" s="5">
        <v>45972.435428240744</v>
      </c>
      <c r="X53" s="6">
        <v>1.1574075324460864E-4</v>
      </c>
    </row>
    <row r="54" spans="1:24" x14ac:dyDescent="0.3">
      <c r="A54" s="2">
        <v>54</v>
      </c>
      <c r="B54" t="s">
        <v>133</v>
      </c>
      <c r="C54" t="s">
        <v>24</v>
      </c>
      <c r="D54" t="s">
        <v>104</v>
      </c>
      <c r="E54" t="s">
        <v>26</v>
      </c>
      <c r="F54" t="s">
        <v>48</v>
      </c>
      <c r="G54" s="11">
        <v>11</v>
      </c>
      <c r="H54" s="11">
        <v>14.4</v>
      </c>
      <c r="I54" s="11">
        <v>1.9</v>
      </c>
      <c r="J54" s="11">
        <v>18.2</v>
      </c>
      <c r="K54" s="11">
        <v>17.600000000000001</v>
      </c>
      <c r="L54" s="11">
        <v>21.2</v>
      </c>
      <c r="M54" s="7">
        <v>10.220000000000001</v>
      </c>
      <c r="N54" s="4">
        <v>25</v>
      </c>
      <c r="O54" s="11">
        <v>4.8</v>
      </c>
      <c r="P54" s="11">
        <v>16.899999999999999</v>
      </c>
      <c r="Q54" s="11">
        <v>4.7</v>
      </c>
      <c r="R54" s="11">
        <v>5</v>
      </c>
      <c r="S54" s="11">
        <v>5.9</v>
      </c>
      <c r="T54" s="11">
        <v>5.7</v>
      </c>
      <c r="U54" s="11">
        <v>7.8</v>
      </c>
      <c r="V54" s="5">
        <v>45972.435555555552</v>
      </c>
      <c r="W54" s="5">
        <v>45972.435682870368</v>
      </c>
      <c r="X54" s="6">
        <v>1.2731482274830341E-4</v>
      </c>
    </row>
    <row r="55" spans="1:24" x14ac:dyDescent="0.3">
      <c r="A55" s="2">
        <v>55</v>
      </c>
      <c r="B55" t="s">
        <v>134</v>
      </c>
      <c r="C55" t="s">
        <v>24</v>
      </c>
      <c r="D55" t="s">
        <v>106</v>
      </c>
      <c r="E55" t="s">
        <v>26</v>
      </c>
      <c r="F55" t="s">
        <v>48</v>
      </c>
      <c r="G55" s="11">
        <v>11.8</v>
      </c>
      <c r="H55" s="11">
        <v>17</v>
      </c>
      <c r="I55" s="11">
        <v>2</v>
      </c>
      <c r="J55" s="11">
        <v>17.8</v>
      </c>
      <c r="K55" s="11">
        <v>21.9</v>
      </c>
      <c r="L55" s="11">
        <v>23</v>
      </c>
      <c r="M55" s="7">
        <v>10.23</v>
      </c>
      <c r="N55" s="4">
        <v>25</v>
      </c>
      <c r="O55" s="11">
        <v>9.9</v>
      </c>
      <c r="P55" s="11">
        <v>20.5</v>
      </c>
      <c r="Q55" s="11">
        <v>7.3</v>
      </c>
      <c r="R55" s="11">
        <v>4.5999999999999996</v>
      </c>
      <c r="S55" s="11">
        <v>6.9</v>
      </c>
      <c r="T55" s="11">
        <v>8.9</v>
      </c>
      <c r="U55" s="11">
        <v>15.2</v>
      </c>
      <c r="V55" s="5">
        <v>45972.43582175926</v>
      </c>
      <c r="W55" s="5">
        <v>45972.435937499999</v>
      </c>
      <c r="X55" s="6">
        <v>1.2731482274830341E-4</v>
      </c>
    </row>
    <row r="56" spans="1:24" x14ac:dyDescent="0.3">
      <c r="A56" s="2">
        <v>56</v>
      </c>
      <c r="B56" t="s">
        <v>135</v>
      </c>
      <c r="C56" t="s">
        <v>24</v>
      </c>
      <c r="D56" t="s">
        <v>108</v>
      </c>
      <c r="E56" t="s">
        <v>26</v>
      </c>
      <c r="F56" t="s">
        <v>48</v>
      </c>
      <c r="G56" s="11">
        <v>8.4</v>
      </c>
      <c r="H56" s="11">
        <v>8.4</v>
      </c>
      <c r="I56" s="11">
        <v>1.5</v>
      </c>
      <c r="J56" s="11">
        <v>27.3</v>
      </c>
      <c r="K56" s="11">
        <v>43.4</v>
      </c>
      <c r="L56" s="11">
        <v>33.9</v>
      </c>
      <c r="M56" s="7">
        <v>10.57</v>
      </c>
      <c r="N56" s="4">
        <v>25</v>
      </c>
      <c r="O56" s="11">
        <v>1.2</v>
      </c>
      <c r="P56" s="11">
        <v>4.9000000000000004</v>
      </c>
      <c r="Q56" s="11">
        <v>3.2</v>
      </c>
      <c r="R56" s="11">
        <v>0.4</v>
      </c>
      <c r="S56" s="11">
        <v>2.4</v>
      </c>
      <c r="T56" s="11">
        <v>1.6</v>
      </c>
      <c r="U56" s="11">
        <v>1.7</v>
      </c>
      <c r="V56" s="5">
        <v>45972.436064814814</v>
      </c>
      <c r="W56" s="5">
        <v>45972.436192129629</v>
      </c>
      <c r="X56" s="6">
        <v>1.2731482274830341E-4</v>
      </c>
    </row>
    <row r="57" spans="1:24" x14ac:dyDescent="0.3">
      <c r="A57" s="2">
        <v>57</v>
      </c>
      <c r="B57" t="s">
        <v>136</v>
      </c>
      <c r="C57" t="s">
        <v>137</v>
      </c>
      <c r="D57" t="s">
        <v>56</v>
      </c>
      <c r="E57" t="s">
        <v>26</v>
      </c>
      <c r="F57" t="s">
        <v>48</v>
      </c>
      <c r="G57" s="11">
        <v>8.6</v>
      </c>
      <c r="H57" s="11">
        <v>2.9</v>
      </c>
      <c r="I57" s="11">
        <v>0.5</v>
      </c>
      <c r="J57" s="11">
        <v>26.8</v>
      </c>
      <c r="K57" s="11">
        <v>43.6</v>
      </c>
      <c r="L57" s="11">
        <v>30.3</v>
      </c>
      <c r="M57" s="7">
        <v>11.17</v>
      </c>
      <c r="N57" s="4">
        <v>25</v>
      </c>
      <c r="O57" s="11">
        <v>2.2000000000000002</v>
      </c>
      <c r="P57" s="11">
        <v>11.3</v>
      </c>
      <c r="Q57" s="11">
        <v>4.8</v>
      </c>
      <c r="R57" s="11">
        <v>2.9</v>
      </c>
      <c r="S57" s="11">
        <v>5.6</v>
      </c>
      <c r="T57" s="11">
        <v>4.5</v>
      </c>
      <c r="U57" s="11">
        <v>6.2</v>
      </c>
      <c r="V57" s="5">
        <v>45972.51357638889</v>
      </c>
      <c r="W57" s="5">
        <v>45972.514143518521</v>
      </c>
      <c r="X57" s="6">
        <v>5.6712963851168752E-4</v>
      </c>
    </row>
    <row r="58" spans="1:24" x14ac:dyDescent="0.3">
      <c r="A58" s="2">
        <v>58</v>
      </c>
      <c r="B58" t="s">
        <v>138</v>
      </c>
      <c r="C58" t="s">
        <v>137</v>
      </c>
      <c r="D58" t="s">
        <v>58</v>
      </c>
      <c r="E58" t="s">
        <v>26</v>
      </c>
      <c r="F58" t="s">
        <v>48</v>
      </c>
      <c r="G58" s="11">
        <v>10.9</v>
      </c>
      <c r="H58" s="11">
        <v>45</v>
      </c>
      <c r="I58" s="11">
        <v>2</v>
      </c>
      <c r="J58" s="11">
        <v>13.9</v>
      </c>
      <c r="K58" s="3" t="s">
        <v>54</v>
      </c>
      <c r="L58" s="11">
        <v>11.3</v>
      </c>
      <c r="M58" s="7">
        <v>9.3000000000000007</v>
      </c>
      <c r="N58" s="4">
        <v>25</v>
      </c>
      <c r="O58" s="11">
        <v>27.6</v>
      </c>
      <c r="P58" s="3" t="s">
        <v>59</v>
      </c>
      <c r="Q58" s="11">
        <v>11</v>
      </c>
      <c r="R58" s="11">
        <v>3.9</v>
      </c>
      <c r="S58" s="11">
        <v>47.8</v>
      </c>
      <c r="T58" s="11">
        <v>44.6</v>
      </c>
      <c r="U58" s="11">
        <v>30.3</v>
      </c>
      <c r="V58" s="5">
        <v>45972.514317129629</v>
      </c>
      <c r="W58" s="5">
        <v>45972.514456018522</v>
      </c>
      <c r="X58" s="6">
        <v>1.2731482274830341E-4</v>
      </c>
    </row>
    <row r="59" spans="1:24" x14ac:dyDescent="0.3">
      <c r="A59" s="2">
        <v>59</v>
      </c>
      <c r="B59" t="s">
        <v>139</v>
      </c>
      <c r="C59" t="s">
        <v>137</v>
      </c>
      <c r="D59" t="s">
        <v>61</v>
      </c>
      <c r="E59" t="s">
        <v>26</v>
      </c>
      <c r="F59" t="s">
        <v>48</v>
      </c>
      <c r="G59" s="11">
        <v>7.6</v>
      </c>
      <c r="H59" s="11">
        <v>23.8</v>
      </c>
      <c r="I59" s="11">
        <v>0.5</v>
      </c>
      <c r="J59" s="11">
        <v>16.899999999999999</v>
      </c>
      <c r="K59" s="11">
        <v>0.9</v>
      </c>
      <c r="L59" s="11">
        <v>16.399999999999999</v>
      </c>
      <c r="M59" s="7">
        <v>9.86</v>
      </c>
      <c r="N59" s="4">
        <v>25</v>
      </c>
      <c r="O59" s="11">
        <v>6.4</v>
      </c>
      <c r="P59" s="3" t="s">
        <v>59</v>
      </c>
      <c r="Q59" s="11">
        <v>17.7</v>
      </c>
      <c r="R59" s="11">
        <v>5.7</v>
      </c>
      <c r="S59" s="11">
        <v>15.9</v>
      </c>
      <c r="T59" s="11">
        <v>21.8</v>
      </c>
      <c r="U59" s="11">
        <v>25.8</v>
      </c>
      <c r="V59" s="5">
        <v>45972.514641203707</v>
      </c>
      <c r="W59" s="5">
        <v>45972.514780092592</v>
      </c>
      <c r="X59" s="6">
        <v>1.3888889225199819E-4</v>
      </c>
    </row>
    <row r="60" spans="1:24" x14ac:dyDescent="0.3">
      <c r="A60" s="2">
        <v>60</v>
      </c>
      <c r="B60" t="s">
        <v>140</v>
      </c>
      <c r="C60" t="s">
        <v>137</v>
      </c>
      <c r="D60" t="s">
        <v>63</v>
      </c>
      <c r="E60" t="s">
        <v>26</v>
      </c>
      <c r="F60" t="s">
        <v>48</v>
      </c>
      <c r="G60" s="11">
        <v>11.6</v>
      </c>
      <c r="H60" s="11">
        <v>27.7</v>
      </c>
      <c r="I60" s="11">
        <v>3.1</v>
      </c>
      <c r="J60" s="11">
        <v>13.3</v>
      </c>
      <c r="K60" s="3" t="s">
        <v>54</v>
      </c>
      <c r="L60" s="11">
        <v>11.3</v>
      </c>
      <c r="M60" s="7">
        <v>12.38</v>
      </c>
      <c r="N60" s="4">
        <v>25</v>
      </c>
      <c r="O60" s="11">
        <v>18.8</v>
      </c>
      <c r="P60" s="11">
        <v>37.6</v>
      </c>
      <c r="Q60" s="11">
        <v>18.2</v>
      </c>
      <c r="R60" s="11">
        <v>8.1999999999999993</v>
      </c>
      <c r="S60" s="11">
        <v>36.200000000000003</v>
      </c>
      <c r="T60" s="11">
        <v>39.4</v>
      </c>
      <c r="U60" s="11">
        <v>23.2</v>
      </c>
      <c r="V60" s="5">
        <v>45972.51494212963</v>
      </c>
      <c r="W60" s="5">
        <v>45972.515081018515</v>
      </c>
      <c r="X60" s="6">
        <v>1.3888889225199819E-4</v>
      </c>
    </row>
    <row r="61" spans="1:24" x14ac:dyDescent="0.3">
      <c r="A61" s="2">
        <v>61</v>
      </c>
      <c r="B61" t="s">
        <v>141</v>
      </c>
      <c r="C61" t="s">
        <v>137</v>
      </c>
      <c r="D61" t="s">
        <v>65</v>
      </c>
      <c r="E61" t="s">
        <v>26</v>
      </c>
      <c r="F61" t="s">
        <v>48</v>
      </c>
      <c r="G61" s="11">
        <v>11.1</v>
      </c>
      <c r="H61" s="11">
        <v>10.6</v>
      </c>
      <c r="I61" s="11">
        <v>1.5</v>
      </c>
      <c r="J61" s="11">
        <v>26.2</v>
      </c>
      <c r="K61" s="11">
        <v>19.2</v>
      </c>
      <c r="L61" s="11">
        <v>28.1</v>
      </c>
      <c r="M61" s="7">
        <v>6.96</v>
      </c>
      <c r="N61" s="4">
        <v>25</v>
      </c>
      <c r="O61" s="11">
        <v>3.4</v>
      </c>
      <c r="P61" s="11">
        <v>47.9</v>
      </c>
      <c r="Q61" s="11">
        <v>7</v>
      </c>
      <c r="R61" s="11">
        <v>1.3</v>
      </c>
      <c r="S61" s="11">
        <v>4.5999999999999996</v>
      </c>
      <c r="T61" s="11">
        <v>5.7</v>
      </c>
      <c r="U61" s="11">
        <v>4.5999999999999996</v>
      </c>
      <c r="V61" s="5">
        <v>45972.515324074076</v>
      </c>
      <c r="W61" s="5">
        <v>45972.515451388892</v>
      </c>
      <c r="X61" s="6">
        <v>1.2731482274830341E-4</v>
      </c>
    </row>
    <row r="62" spans="1:24" x14ac:dyDescent="0.3">
      <c r="A62" s="2">
        <v>62</v>
      </c>
      <c r="B62" t="s">
        <v>142</v>
      </c>
      <c r="C62" t="s">
        <v>137</v>
      </c>
      <c r="D62" t="s">
        <v>67</v>
      </c>
      <c r="E62" t="s">
        <v>26</v>
      </c>
      <c r="F62" t="s">
        <v>48</v>
      </c>
      <c r="G62" s="11">
        <v>10.5</v>
      </c>
      <c r="H62" s="11">
        <v>17</v>
      </c>
      <c r="I62" s="11">
        <v>4.2</v>
      </c>
      <c r="J62" s="11">
        <v>14.9</v>
      </c>
      <c r="K62" s="3" t="s">
        <v>54</v>
      </c>
      <c r="L62" s="11">
        <v>22</v>
      </c>
      <c r="M62" s="7">
        <v>19.29</v>
      </c>
      <c r="N62" s="4">
        <v>25</v>
      </c>
      <c r="O62" s="11">
        <v>26</v>
      </c>
      <c r="P62" s="3" t="s">
        <v>59</v>
      </c>
      <c r="Q62" s="3" t="s">
        <v>68</v>
      </c>
      <c r="R62" s="11">
        <v>7.3</v>
      </c>
      <c r="S62" s="11">
        <v>27.7</v>
      </c>
      <c r="T62" s="11">
        <v>49.1</v>
      </c>
      <c r="U62" s="11">
        <v>38.799999999999997</v>
      </c>
      <c r="V62" s="5">
        <v>45972.515636574077</v>
      </c>
      <c r="W62" s="5">
        <v>45972.515763888892</v>
      </c>
      <c r="X62" s="6">
        <v>1.3888889225199819E-4</v>
      </c>
    </row>
    <row r="63" spans="1:24" x14ac:dyDescent="0.3">
      <c r="A63" s="2">
        <v>63</v>
      </c>
      <c r="B63" t="s">
        <v>143</v>
      </c>
      <c r="C63" t="s">
        <v>137</v>
      </c>
      <c r="D63" t="s">
        <v>70</v>
      </c>
      <c r="E63" t="s">
        <v>26</v>
      </c>
      <c r="F63" t="s">
        <v>48</v>
      </c>
      <c r="G63" s="11">
        <v>10.6</v>
      </c>
      <c r="H63" s="11">
        <v>21.8</v>
      </c>
      <c r="I63" s="11">
        <v>2.2999999999999998</v>
      </c>
      <c r="J63" s="11">
        <v>16.600000000000001</v>
      </c>
      <c r="K63" s="3" t="s">
        <v>54</v>
      </c>
      <c r="L63" s="11">
        <v>17.2</v>
      </c>
      <c r="M63" s="7">
        <v>10.91</v>
      </c>
      <c r="N63" s="4">
        <v>25</v>
      </c>
      <c r="O63" s="11">
        <v>9</v>
      </c>
      <c r="P63" s="11">
        <v>13.9</v>
      </c>
      <c r="Q63" s="11">
        <v>6.6</v>
      </c>
      <c r="R63" s="11">
        <v>4.3</v>
      </c>
      <c r="S63" s="11">
        <v>15.1</v>
      </c>
      <c r="T63" s="11">
        <v>17.2</v>
      </c>
      <c r="U63" s="11">
        <v>11.5</v>
      </c>
      <c r="V63" s="5">
        <v>45972.516342592593</v>
      </c>
      <c r="W63" s="5">
        <v>45972.516481481478</v>
      </c>
      <c r="X63" s="6">
        <v>1.3888889225199819E-4</v>
      </c>
    </row>
    <row r="64" spans="1:24" x14ac:dyDescent="0.3">
      <c r="A64" s="2">
        <v>64</v>
      </c>
      <c r="B64" t="s">
        <v>144</v>
      </c>
      <c r="C64" t="s">
        <v>137</v>
      </c>
      <c r="D64" t="s">
        <v>72</v>
      </c>
      <c r="E64" t="s">
        <v>26</v>
      </c>
      <c r="F64" t="s">
        <v>48</v>
      </c>
      <c r="G64" s="11">
        <v>10.1</v>
      </c>
      <c r="H64" s="3" t="s">
        <v>59</v>
      </c>
      <c r="I64" s="11">
        <v>1.9</v>
      </c>
      <c r="J64" s="11">
        <v>16.399999999999999</v>
      </c>
      <c r="K64" s="3" t="s">
        <v>54</v>
      </c>
      <c r="L64" s="11">
        <v>13</v>
      </c>
      <c r="M64" s="7">
        <v>11.3</v>
      </c>
      <c r="N64" s="4">
        <v>25</v>
      </c>
      <c r="O64" s="11">
        <v>58.8</v>
      </c>
      <c r="P64" s="3" t="s">
        <v>59</v>
      </c>
      <c r="Q64" s="11">
        <v>20.100000000000001</v>
      </c>
      <c r="R64" s="11">
        <v>4.7</v>
      </c>
      <c r="S64" s="11">
        <v>74.099999999999994</v>
      </c>
      <c r="T64" s="11">
        <v>78.3</v>
      </c>
      <c r="U64" s="11">
        <v>54.7</v>
      </c>
      <c r="V64" s="5">
        <v>45972.51666666667</v>
      </c>
      <c r="W64" s="5">
        <v>45972.516793981478</v>
      </c>
      <c r="X64" s="6">
        <v>1.2731482274830341E-4</v>
      </c>
    </row>
    <row r="65" spans="1:24" x14ac:dyDescent="0.3">
      <c r="A65" s="2">
        <v>65</v>
      </c>
      <c r="B65" t="s">
        <v>145</v>
      </c>
      <c r="C65" t="s">
        <v>137</v>
      </c>
      <c r="D65" t="s">
        <v>74</v>
      </c>
      <c r="E65" t="s">
        <v>26</v>
      </c>
      <c r="F65" t="s">
        <v>48</v>
      </c>
      <c r="G65" s="11">
        <v>11.6</v>
      </c>
      <c r="H65" s="11">
        <v>23.4</v>
      </c>
      <c r="I65" s="11">
        <v>1.9</v>
      </c>
      <c r="J65" s="11">
        <v>19.899999999999999</v>
      </c>
      <c r="K65" s="11">
        <v>10.1</v>
      </c>
      <c r="L65" s="11">
        <v>24.5</v>
      </c>
      <c r="M65" s="7">
        <v>9.41</v>
      </c>
      <c r="N65" s="4">
        <v>25</v>
      </c>
      <c r="O65" s="11">
        <v>10.9</v>
      </c>
      <c r="P65" s="11">
        <v>13.9</v>
      </c>
      <c r="Q65" s="11">
        <v>5.0999999999999996</v>
      </c>
      <c r="R65" s="11">
        <v>1.6</v>
      </c>
      <c r="S65" s="11">
        <v>8</v>
      </c>
      <c r="T65" s="11">
        <v>9</v>
      </c>
      <c r="U65" s="11">
        <v>12.5</v>
      </c>
      <c r="V65" s="5">
        <v>45972.516944444447</v>
      </c>
      <c r="W65" s="5">
        <v>45972.517083333332</v>
      </c>
      <c r="X65" s="6">
        <v>1.3888889225199819E-4</v>
      </c>
    </row>
    <row r="66" spans="1:24" x14ac:dyDescent="0.3">
      <c r="A66" s="2">
        <v>66</v>
      </c>
      <c r="B66" t="s">
        <v>146</v>
      </c>
      <c r="C66" t="s">
        <v>137</v>
      </c>
      <c r="D66" t="s">
        <v>76</v>
      </c>
      <c r="E66" t="s">
        <v>26</v>
      </c>
      <c r="F66" t="s">
        <v>48</v>
      </c>
      <c r="G66" s="11">
        <v>7.9</v>
      </c>
      <c r="H66" s="11">
        <v>1.5</v>
      </c>
      <c r="I66" s="11">
        <v>0.5</v>
      </c>
      <c r="J66" s="11">
        <v>28.8</v>
      </c>
      <c r="K66" s="11">
        <v>48.1</v>
      </c>
      <c r="L66" s="11">
        <v>35.299999999999997</v>
      </c>
      <c r="M66" s="7">
        <v>10.62</v>
      </c>
      <c r="N66" s="4">
        <v>25</v>
      </c>
      <c r="O66" s="11">
        <v>1.1000000000000001</v>
      </c>
      <c r="P66" s="11">
        <v>11.4</v>
      </c>
      <c r="Q66" s="11">
        <v>3.3</v>
      </c>
      <c r="R66" s="11">
        <v>0.8</v>
      </c>
      <c r="S66" s="11">
        <v>2.2000000000000002</v>
      </c>
      <c r="T66" s="11">
        <v>2.7</v>
      </c>
      <c r="U66" s="11">
        <v>3.8</v>
      </c>
      <c r="V66" s="5">
        <v>45972.517268518517</v>
      </c>
      <c r="W66" s="5">
        <v>45972.517407407409</v>
      </c>
      <c r="X66" s="6">
        <v>1.3888889225199819E-4</v>
      </c>
    </row>
    <row r="67" spans="1:24" x14ac:dyDescent="0.3">
      <c r="A67" s="2">
        <v>67</v>
      </c>
      <c r="B67" t="s">
        <v>147</v>
      </c>
      <c r="C67" t="s">
        <v>137</v>
      </c>
      <c r="D67" t="s">
        <v>78</v>
      </c>
      <c r="E67" t="s">
        <v>26</v>
      </c>
      <c r="F67" t="s">
        <v>48</v>
      </c>
      <c r="G67" s="11">
        <v>11.5</v>
      </c>
      <c r="H67" s="11">
        <v>17.8</v>
      </c>
      <c r="I67" s="11">
        <v>2</v>
      </c>
      <c r="J67" s="11">
        <v>18.3</v>
      </c>
      <c r="K67" s="11">
        <v>16.399999999999999</v>
      </c>
      <c r="L67" s="11">
        <v>23.9</v>
      </c>
      <c r="M67" s="7">
        <v>10.72</v>
      </c>
      <c r="N67" s="4">
        <v>25</v>
      </c>
      <c r="O67" s="11">
        <v>10.9</v>
      </c>
      <c r="P67" s="11">
        <v>11.5</v>
      </c>
      <c r="Q67" s="11">
        <v>6.4</v>
      </c>
      <c r="R67" s="11">
        <v>3.9</v>
      </c>
      <c r="S67" s="11">
        <v>6.6</v>
      </c>
      <c r="T67" s="11">
        <v>8.4</v>
      </c>
      <c r="U67" s="11">
        <v>13.2</v>
      </c>
      <c r="V67" s="5">
        <v>45972.517557870371</v>
      </c>
      <c r="W67" s="5">
        <v>45972.517696759256</v>
      </c>
      <c r="X67" s="6">
        <v>1.3888889225199819E-4</v>
      </c>
    </row>
    <row r="68" spans="1:24" x14ac:dyDescent="0.3">
      <c r="A68" s="2">
        <v>68</v>
      </c>
      <c r="B68" t="s">
        <v>148</v>
      </c>
      <c r="C68" t="s">
        <v>137</v>
      </c>
      <c r="D68" t="s">
        <v>80</v>
      </c>
      <c r="E68" t="s">
        <v>26</v>
      </c>
      <c r="F68" t="s">
        <v>48</v>
      </c>
      <c r="G68" s="11">
        <v>10.199999999999999</v>
      </c>
      <c r="H68" s="11">
        <v>11.1</v>
      </c>
      <c r="I68" s="11">
        <v>0.6</v>
      </c>
      <c r="J68" s="11">
        <v>27.4</v>
      </c>
      <c r="K68" s="11">
        <v>17.3</v>
      </c>
      <c r="L68" s="11">
        <v>29.4</v>
      </c>
      <c r="M68" s="7">
        <v>6.89</v>
      </c>
      <c r="N68" s="4">
        <v>25</v>
      </c>
      <c r="O68" s="11">
        <v>1.4</v>
      </c>
      <c r="P68" s="11">
        <v>10</v>
      </c>
      <c r="Q68" s="11">
        <v>2.1</v>
      </c>
      <c r="R68" s="11">
        <v>0.3</v>
      </c>
      <c r="S68" s="11">
        <v>3.4</v>
      </c>
      <c r="T68" s="11">
        <v>6.6</v>
      </c>
      <c r="U68" s="11">
        <v>5.9</v>
      </c>
      <c r="V68" s="5">
        <v>45972.517847222225</v>
      </c>
      <c r="W68" s="5">
        <v>45972.517974537041</v>
      </c>
      <c r="X68" s="6">
        <v>1.2731482274830341E-4</v>
      </c>
    </row>
    <row r="69" spans="1:24" x14ac:dyDescent="0.3">
      <c r="A69" s="2">
        <v>69</v>
      </c>
      <c r="B69" t="s">
        <v>149</v>
      </c>
      <c r="C69" t="s">
        <v>137</v>
      </c>
      <c r="D69" t="s">
        <v>82</v>
      </c>
      <c r="E69" t="s">
        <v>26</v>
      </c>
      <c r="F69" t="s">
        <v>48</v>
      </c>
      <c r="G69" s="11">
        <v>12.7</v>
      </c>
      <c r="H69" s="11">
        <v>27.4</v>
      </c>
      <c r="I69" s="11">
        <v>1.5</v>
      </c>
      <c r="J69" s="11">
        <v>16.600000000000001</v>
      </c>
      <c r="K69" s="11">
        <v>15</v>
      </c>
      <c r="L69" s="11">
        <v>22.4</v>
      </c>
      <c r="M69" s="7">
        <v>10.15</v>
      </c>
      <c r="N69" s="4">
        <v>25</v>
      </c>
      <c r="O69" s="11">
        <v>16.7</v>
      </c>
      <c r="P69" s="11">
        <v>12</v>
      </c>
      <c r="Q69" s="11">
        <v>7.3</v>
      </c>
      <c r="R69" s="11">
        <v>3.9</v>
      </c>
      <c r="S69" s="11">
        <v>7.9</v>
      </c>
      <c r="T69" s="11">
        <v>8.4</v>
      </c>
      <c r="U69" s="11">
        <v>16.5</v>
      </c>
      <c r="V69" s="5">
        <v>45972.518148148149</v>
      </c>
      <c r="W69" s="5">
        <v>45972.518287037034</v>
      </c>
      <c r="X69" s="6">
        <v>1.3888889225199819E-4</v>
      </c>
    </row>
    <row r="70" spans="1:24" x14ac:dyDescent="0.3">
      <c r="A70" s="2">
        <v>70</v>
      </c>
      <c r="B70" t="s">
        <v>150</v>
      </c>
      <c r="C70" t="s">
        <v>137</v>
      </c>
      <c r="D70" t="s">
        <v>84</v>
      </c>
      <c r="E70" t="s">
        <v>26</v>
      </c>
      <c r="F70" t="s">
        <v>48</v>
      </c>
      <c r="G70" s="11">
        <v>10.4</v>
      </c>
      <c r="H70" s="11">
        <v>10.4</v>
      </c>
      <c r="I70" s="11">
        <v>2</v>
      </c>
      <c r="J70" s="11">
        <v>24.5</v>
      </c>
      <c r="K70" s="11">
        <v>16.100000000000001</v>
      </c>
      <c r="L70" s="11">
        <v>25.6</v>
      </c>
      <c r="M70" s="7">
        <v>7.68</v>
      </c>
      <c r="N70" s="4">
        <v>25</v>
      </c>
      <c r="O70" s="11">
        <v>3.6</v>
      </c>
      <c r="P70" s="11">
        <v>37.6</v>
      </c>
      <c r="Q70" s="11">
        <v>8.3000000000000007</v>
      </c>
      <c r="R70" s="11">
        <v>2.4</v>
      </c>
      <c r="S70" s="11">
        <v>4</v>
      </c>
      <c r="T70" s="11">
        <v>5.8</v>
      </c>
      <c r="U70" s="11">
        <v>4.0999999999999996</v>
      </c>
      <c r="V70" s="5">
        <v>45972.518460648149</v>
      </c>
      <c r="W70" s="5">
        <v>45972.518587962964</v>
      </c>
      <c r="X70" s="6">
        <v>1.2731482274830341E-4</v>
      </c>
    </row>
    <row r="71" spans="1:24" x14ac:dyDescent="0.3">
      <c r="A71" s="2">
        <v>71</v>
      </c>
      <c r="B71" t="s">
        <v>151</v>
      </c>
      <c r="C71" t="s">
        <v>137</v>
      </c>
      <c r="D71" t="s">
        <v>86</v>
      </c>
      <c r="E71" t="s">
        <v>26</v>
      </c>
      <c r="F71" t="s">
        <v>48</v>
      </c>
      <c r="G71" s="11">
        <v>11.3</v>
      </c>
      <c r="H71" s="11">
        <v>21.7</v>
      </c>
      <c r="I71" s="11">
        <v>1.4</v>
      </c>
      <c r="J71" s="11">
        <v>24.4</v>
      </c>
      <c r="K71" s="3" t="s">
        <v>54</v>
      </c>
      <c r="L71" s="11">
        <v>25.9</v>
      </c>
      <c r="M71" s="7">
        <v>10.3</v>
      </c>
      <c r="N71" s="4">
        <v>25</v>
      </c>
      <c r="O71" s="11">
        <v>11.8</v>
      </c>
      <c r="P71" s="11">
        <v>20.3</v>
      </c>
      <c r="Q71" s="11">
        <v>12.5</v>
      </c>
      <c r="R71" s="11">
        <v>2.7</v>
      </c>
      <c r="S71" s="11">
        <v>12.2</v>
      </c>
      <c r="T71" s="11">
        <v>20</v>
      </c>
      <c r="U71" s="11">
        <v>11</v>
      </c>
      <c r="V71" s="5">
        <v>45972.518807870372</v>
      </c>
      <c r="W71" s="5">
        <v>45972.518935185188</v>
      </c>
      <c r="X71" s="6">
        <v>1.2731482274830341E-4</v>
      </c>
    </row>
    <row r="72" spans="1:24" x14ac:dyDescent="0.3">
      <c r="A72" s="2">
        <v>72</v>
      </c>
      <c r="B72" t="s">
        <v>152</v>
      </c>
      <c r="C72" t="s">
        <v>137</v>
      </c>
      <c r="D72" t="s">
        <v>88</v>
      </c>
      <c r="E72" t="s">
        <v>26</v>
      </c>
      <c r="F72" t="s">
        <v>48</v>
      </c>
      <c r="G72" s="11">
        <v>10.199999999999999</v>
      </c>
      <c r="H72" s="11">
        <v>26.3</v>
      </c>
      <c r="I72" s="11">
        <v>3.5</v>
      </c>
      <c r="J72" s="11">
        <v>16.7</v>
      </c>
      <c r="K72" s="3" t="s">
        <v>54</v>
      </c>
      <c r="L72" s="11">
        <v>18.5</v>
      </c>
      <c r="M72" s="7">
        <v>10.43</v>
      </c>
      <c r="N72" s="4">
        <v>25</v>
      </c>
      <c r="O72" s="11">
        <v>9.9</v>
      </c>
      <c r="P72" s="11">
        <v>39.299999999999997</v>
      </c>
      <c r="Q72" s="11">
        <v>20.100000000000001</v>
      </c>
      <c r="R72" s="11">
        <v>2.1</v>
      </c>
      <c r="S72" s="11">
        <v>24.3</v>
      </c>
      <c r="T72" s="11">
        <v>29.1</v>
      </c>
      <c r="U72" s="11">
        <v>12.1</v>
      </c>
      <c r="V72" s="5">
        <v>45972.519131944442</v>
      </c>
      <c r="W72" s="5">
        <v>45972.519259259258</v>
      </c>
      <c r="X72" s="6">
        <v>1.2731482274830341E-4</v>
      </c>
    </row>
    <row r="73" spans="1:24" x14ac:dyDescent="0.3">
      <c r="A73" s="2">
        <v>73</v>
      </c>
      <c r="B73" t="s">
        <v>153</v>
      </c>
      <c r="C73" t="s">
        <v>137</v>
      </c>
      <c r="D73" t="s">
        <v>90</v>
      </c>
      <c r="E73" t="s">
        <v>26</v>
      </c>
      <c r="F73" t="s">
        <v>48</v>
      </c>
      <c r="G73" s="11">
        <v>12.2</v>
      </c>
      <c r="H73" s="11">
        <v>19.600000000000001</v>
      </c>
      <c r="I73" s="11">
        <v>1.4</v>
      </c>
      <c r="J73" s="11">
        <v>21.8</v>
      </c>
      <c r="K73" s="11">
        <v>0.1</v>
      </c>
      <c r="L73" s="11">
        <v>23.3</v>
      </c>
      <c r="M73" s="7">
        <v>10.71</v>
      </c>
      <c r="N73" s="4">
        <v>25</v>
      </c>
      <c r="O73" s="11">
        <v>10.5</v>
      </c>
      <c r="P73" s="11">
        <v>17.100000000000001</v>
      </c>
      <c r="Q73" s="11">
        <v>5.2</v>
      </c>
      <c r="R73" s="11">
        <v>1.5</v>
      </c>
      <c r="S73" s="11">
        <v>9.1</v>
      </c>
      <c r="T73" s="11">
        <v>15.6</v>
      </c>
      <c r="U73" s="11">
        <v>12.1</v>
      </c>
      <c r="V73" s="5">
        <v>45972.519432870373</v>
      </c>
      <c r="W73" s="5">
        <v>45972.519571759258</v>
      </c>
      <c r="X73" s="6">
        <v>1.3888889225199819E-4</v>
      </c>
    </row>
    <row r="74" spans="1:24" x14ac:dyDescent="0.3">
      <c r="A74" s="2">
        <v>74</v>
      </c>
      <c r="B74" t="s">
        <v>154</v>
      </c>
      <c r="C74" t="s">
        <v>137</v>
      </c>
      <c r="D74" t="s">
        <v>92</v>
      </c>
      <c r="E74" t="s">
        <v>26</v>
      </c>
      <c r="F74" t="s">
        <v>48</v>
      </c>
      <c r="G74" s="11">
        <v>8.1</v>
      </c>
      <c r="H74" s="11">
        <v>21.9</v>
      </c>
      <c r="I74" s="11">
        <v>0.2</v>
      </c>
      <c r="J74" s="11">
        <v>26.4</v>
      </c>
      <c r="K74" s="11">
        <v>12.1</v>
      </c>
      <c r="L74" s="11">
        <v>26.9</v>
      </c>
      <c r="M74" s="7">
        <v>9.32</v>
      </c>
      <c r="N74" s="4">
        <v>25</v>
      </c>
      <c r="O74" s="11">
        <v>0.7</v>
      </c>
      <c r="P74" s="11">
        <v>11.2</v>
      </c>
      <c r="Q74" s="11">
        <v>3.9</v>
      </c>
      <c r="R74" s="11">
        <v>0.9</v>
      </c>
      <c r="S74" s="11">
        <v>3.6</v>
      </c>
      <c r="T74" s="11">
        <v>5.7</v>
      </c>
      <c r="U74" s="11">
        <v>2</v>
      </c>
      <c r="V74" s="5">
        <v>45972.519745370373</v>
      </c>
      <c r="W74" s="5">
        <v>45972.519872685189</v>
      </c>
      <c r="X74" s="6">
        <v>1.3888889225199819E-4</v>
      </c>
    </row>
    <row r="75" spans="1:24" x14ac:dyDescent="0.3">
      <c r="A75" s="2">
        <v>75</v>
      </c>
      <c r="B75" t="s">
        <v>155</v>
      </c>
      <c r="C75" t="s">
        <v>137</v>
      </c>
      <c r="D75" t="s">
        <v>94</v>
      </c>
      <c r="E75" t="s">
        <v>26</v>
      </c>
      <c r="F75" t="s">
        <v>48</v>
      </c>
      <c r="G75" s="11">
        <v>12</v>
      </c>
      <c r="H75" s="11">
        <v>17.8</v>
      </c>
      <c r="I75" s="11">
        <v>1.2</v>
      </c>
      <c r="J75" s="11">
        <v>22.5</v>
      </c>
      <c r="K75" s="11">
        <v>6</v>
      </c>
      <c r="L75" s="11">
        <v>22.4</v>
      </c>
      <c r="M75" s="7">
        <v>9.33</v>
      </c>
      <c r="N75" s="4">
        <v>25</v>
      </c>
      <c r="O75" s="11">
        <v>6.2</v>
      </c>
      <c r="P75" s="11">
        <v>17.600000000000001</v>
      </c>
      <c r="Q75" s="11">
        <v>6.2</v>
      </c>
      <c r="R75" s="11">
        <v>2</v>
      </c>
      <c r="S75" s="11">
        <v>7.3</v>
      </c>
      <c r="T75" s="11">
        <v>11.2</v>
      </c>
      <c r="U75" s="11">
        <v>6.6</v>
      </c>
      <c r="V75" s="5">
        <v>45972.521087962959</v>
      </c>
      <c r="W75" s="5">
        <v>45972.521261574075</v>
      </c>
      <c r="X75" s="6">
        <v>1.736111007630825E-4</v>
      </c>
    </row>
    <row r="76" spans="1:24" x14ac:dyDescent="0.3">
      <c r="A76" s="2">
        <v>76</v>
      </c>
      <c r="B76" t="s">
        <v>156</v>
      </c>
      <c r="C76" t="s">
        <v>137</v>
      </c>
      <c r="D76" t="s">
        <v>96</v>
      </c>
      <c r="E76" t="s">
        <v>26</v>
      </c>
      <c r="F76" t="s">
        <v>48</v>
      </c>
      <c r="G76" s="11">
        <v>12.8</v>
      </c>
      <c r="H76" s="11">
        <v>21</v>
      </c>
      <c r="I76" s="11">
        <v>1.1000000000000001</v>
      </c>
      <c r="J76" s="11">
        <v>23.2</v>
      </c>
      <c r="K76" s="11">
        <v>4.4000000000000004</v>
      </c>
      <c r="L76" s="11">
        <v>23.5</v>
      </c>
      <c r="M76" s="7">
        <v>9.23</v>
      </c>
      <c r="N76" s="4">
        <v>25</v>
      </c>
      <c r="O76" s="11">
        <v>10.199999999999999</v>
      </c>
      <c r="P76" s="11">
        <v>23.6</v>
      </c>
      <c r="Q76" s="11">
        <v>9</v>
      </c>
      <c r="R76" s="11">
        <v>2.4</v>
      </c>
      <c r="S76" s="11">
        <v>9.6999999999999993</v>
      </c>
      <c r="T76" s="11">
        <v>15.3</v>
      </c>
      <c r="U76" s="11">
        <v>10.4</v>
      </c>
      <c r="V76" s="5">
        <v>45972.521481481483</v>
      </c>
      <c r="W76" s="5">
        <v>45972.521620370368</v>
      </c>
      <c r="X76" s="6">
        <v>1.3888889225199819E-4</v>
      </c>
    </row>
    <row r="77" spans="1:24" x14ac:dyDescent="0.3">
      <c r="A77" s="2">
        <v>77</v>
      </c>
      <c r="B77" t="s">
        <v>157</v>
      </c>
      <c r="C77" t="s">
        <v>137</v>
      </c>
      <c r="D77" t="s">
        <v>98</v>
      </c>
      <c r="E77" t="s">
        <v>26</v>
      </c>
      <c r="F77" t="s">
        <v>48</v>
      </c>
      <c r="G77" s="11">
        <v>9.1999999999999993</v>
      </c>
      <c r="H77" s="11">
        <v>15</v>
      </c>
      <c r="I77" s="11">
        <v>0.9</v>
      </c>
      <c r="J77" s="11">
        <v>25.4</v>
      </c>
      <c r="K77" s="11">
        <v>33.1</v>
      </c>
      <c r="L77" s="11">
        <v>33</v>
      </c>
      <c r="M77" s="7">
        <v>10.58</v>
      </c>
      <c r="N77" s="4">
        <v>25</v>
      </c>
      <c r="O77" s="11">
        <v>1.5</v>
      </c>
      <c r="P77" s="11">
        <v>5.4</v>
      </c>
      <c r="Q77" s="11">
        <v>2.6</v>
      </c>
      <c r="R77" s="11">
        <v>0.8</v>
      </c>
      <c r="S77" s="11">
        <v>2</v>
      </c>
      <c r="T77" s="11">
        <v>2.1</v>
      </c>
      <c r="U77" s="11">
        <v>2.4</v>
      </c>
      <c r="V77" s="5">
        <v>45972.521828703706</v>
      </c>
      <c r="W77" s="5">
        <v>45972.521956018521</v>
      </c>
      <c r="X77" s="6">
        <v>1.2731482274830341E-4</v>
      </c>
    </row>
    <row r="78" spans="1:24" x14ac:dyDescent="0.3">
      <c r="A78" s="2">
        <v>78</v>
      </c>
      <c r="B78" t="s">
        <v>158</v>
      </c>
      <c r="C78" t="s">
        <v>137</v>
      </c>
      <c r="D78" t="s">
        <v>100</v>
      </c>
      <c r="E78" t="s">
        <v>26</v>
      </c>
      <c r="F78" t="s">
        <v>48</v>
      </c>
      <c r="G78" s="11">
        <v>9.4</v>
      </c>
      <c r="H78" s="11">
        <v>17.3</v>
      </c>
      <c r="I78" s="11">
        <v>0.6</v>
      </c>
      <c r="J78" s="11">
        <v>27.6</v>
      </c>
      <c r="K78" s="11">
        <v>21.6</v>
      </c>
      <c r="L78" s="11">
        <v>30.3</v>
      </c>
      <c r="M78" s="7">
        <v>7.5</v>
      </c>
      <c r="N78" s="4">
        <v>25</v>
      </c>
      <c r="O78" s="11">
        <v>0.9</v>
      </c>
      <c r="P78" s="11">
        <v>7.2</v>
      </c>
      <c r="Q78" s="11">
        <v>2.8</v>
      </c>
      <c r="R78" s="11">
        <v>1</v>
      </c>
      <c r="S78" s="11">
        <v>3.5</v>
      </c>
      <c r="T78" s="11">
        <v>3.4</v>
      </c>
      <c r="U78" s="11">
        <v>2.4</v>
      </c>
      <c r="V78" s="5">
        <v>45972.522280092591</v>
      </c>
      <c r="W78" s="5">
        <v>45972.522418981483</v>
      </c>
      <c r="X78" s="6">
        <v>1.3888889225199819E-4</v>
      </c>
    </row>
    <row r="79" spans="1:24" x14ac:dyDescent="0.3">
      <c r="A79" s="2">
        <v>79</v>
      </c>
      <c r="B79" t="s">
        <v>159</v>
      </c>
      <c r="C79" t="s">
        <v>137</v>
      </c>
      <c r="D79" t="s">
        <v>102</v>
      </c>
      <c r="E79" t="s">
        <v>26</v>
      </c>
      <c r="F79" t="s">
        <v>48</v>
      </c>
      <c r="G79" s="11">
        <v>12.7</v>
      </c>
      <c r="H79" s="11">
        <v>26</v>
      </c>
      <c r="I79" s="11">
        <v>1.4</v>
      </c>
      <c r="J79" s="11">
        <v>16.600000000000001</v>
      </c>
      <c r="K79" s="11">
        <v>17.7</v>
      </c>
      <c r="L79" s="11">
        <v>22.6</v>
      </c>
      <c r="M79" s="7">
        <v>10.39</v>
      </c>
      <c r="N79" s="4">
        <v>25</v>
      </c>
      <c r="O79" s="11">
        <v>16.899999999999999</v>
      </c>
      <c r="P79" s="11">
        <v>11.5</v>
      </c>
      <c r="Q79" s="11">
        <v>7.5</v>
      </c>
      <c r="R79" s="11">
        <v>4.0999999999999996</v>
      </c>
      <c r="S79" s="11">
        <v>8.1</v>
      </c>
      <c r="T79" s="11">
        <v>8.1999999999999993</v>
      </c>
      <c r="U79" s="11">
        <v>17.2</v>
      </c>
      <c r="V79" s="5">
        <v>45972.522569444445</v>
      </c>
      <c r="W79" s="5">
        <v>45972.522696759261</v>
      </c>
      <c r="X79" s="6">
        <v>1.3888889225199819E-4</v>
      </c>
    </row>
    <row r="80" spans="1:24" x14ac:dyDescent="0.3">
      <c r="A80" s="2">
        <v>80</v>
      </c>
      <c r="B80" t="s">
        <v>160</v>
      </c>
      <c r="C80" t="s">
        <v>137</v>
      </c>
      <c r="D80" t="s">
        <v>104</v>
      </c>
      <c r="E80" t="s">
        <v>26</v>
      </c>
      <c r="F80" t="s">
        <v>48</v>
      </c>
      <c r="G80" s="11">
        <v>11.7</v>
      </c>
      <c r="H80" s="11">
        <v>15.6</v>
      </c>
      <c r="I80" s="11">
        <v>1.6</v>
      </c>
      <c r="J80" s="11">
        <v>18.5</v>
      </c>
      <c r="K80" s="11">
        <v>12.8</v>
      </c>
      <c r="L80" s="11">
        <v>21.9</v>
      </c>
      <c r="M80" s="7">
        <v>9.3699999999999992</v>
      </c>
      <c r="N80" s="4">
        <v>25</v>
      </c>
      <c r="O80" s="11">
        <v>7.6</v>
      </c>
      <c r="P80" s="11">
        <v>12.6</v>
      </c>
      <c r="Q80" s="11">
        <v>4.3</v>
      </c>
      <c r="R80" s="11">
        <v>4</v>
      </c>
      <c r="S80" s="11">
        <v>7.3</v>
      </c>
      <c r="T80" s="11">
        <v>7.3</v>
      </c>
      <c r="U80" s="11">
        <v>9.6</v>
      </c>
      <c r="V80" s="5">
        <v>45972.522847222222</v>
      </c>
      <c r="W80" s="5">
        <v>45972.522986111115</v>
      </c>
      <c r="X80" s="6">
        <v>1.3888889225199819E-4</v>
      </c>
    </row>
    <row r="81" spans="1:24" x14ac:dyDescent="0.3">
      <c r="A81" s="2">
        <v>81</v>
      </c>
      <c r="B81" t="s">
        <v>161</v>
      </c>
      <c r="C81" t="s">
        <v>137</v>
      </c>
      <c r="D81" t="s">
        <v>106</v>
      </c>
      <c r="E81" t="s">
        <v>26</v>
      </c>
      <c r="F81" t="s">
        <v>48</v>
      </c>
      <c r="G81" s="11">
        <v>12.3</v>
      </c>
      <c r="H81" s="11">
        <v>17.8</v>
      </c>
      <c r="I81" s="11">
        <v>1.7</v>
      </c>
      <c r="J81" s="11">
        <v>18.2</v>
      </c>
      <c r="K81" s="11">
        <v>19</v>
      </c>
      <c r="L81" s="11">
        <v>23.5</v>
      </c>
      <c r="M81" s="7">
        <v>9.82</v>
      </c>
      <c r="N81" s="4">
        <v>25</v>
      </c>
      <c r="O81" s="11">
        <v>13.6</v>
      </c>
      <c r="P81" s="11">
        <v>16.2</v>
      </c>
      <c r="Q81" s="11">
        <v>7.1</v>
      </c>
      <c r="R81" s="11">
        <v>3.7</v>
      </c>
      <c r="S81" s="11">
        <v>8.6999999999999993</v>
      </c>
      <c r="T81" s="11">
        <v>9.6</v>
      </c>
      <c r="U81" s="11">
        <v>17.600000000000001</v>
      </c>
      <c r="V81" s="5">
        <v>45972.523125</v>
      </c>
      <c r="W81" s="5">
        <v>45972.523252314815</v>
      </c>
      <c r="X81" s="6">
        <v>1.2731482274830341E-4</v>
      </c>
    </row>
    <row r="82" spans="1:24" x14ac:dyDescent="0.3">
      <c r="A82" s="2">
        <v>82</v>
      </c>
      <c r="B82" t="s">
        <v>162</v>
      </c>
      <c r="C82" t="s">
        <v>137</v>
      </c>
      <c r="D82" t="s">
        <v>108</v>
      </c>
      <c r="E82" t="s">
        <v>26</v>
      </c>
      <c r="F82" t="s">
        <v>48</v>
      </c>
      <c r="G82" s="11">
        <v>9.1</v>
      </c>
      <c r="H82" s="11">
        <v>9.1999999999999993</v>
      </c>
      <c r="I82" s="11">
        <v>0.8</v>
      </c>
      <c r="J82" s="11">
        <v>27.4</v>
      </c>
      <c r="K82" s="11">
        <v>30.9</v>
      </c>
      <c r="L82" s="11">
        <v>32.1</v>
      </c>
      <c r="M82" s="7">
        <v>8.4600000000000009</v>
      </c>
      <c r="N82" s="4">
        <v>25</v>
      </c>
      <c r="O82" s="11">
        <v>1.1000000000000001</v>
      </c>
      <c r="P82" s="11">
        <v>3.7</v>
      </c>
      <c r="Q82" s="11">
        <v>1.2</v>
      </c>
      <c r="R82" s="11">
        <v>0.1</v>
      </c>
      <c r="S82" s="11">
        <v>1.4</v>
      </c>
      <c r="T82" s="11">
        <v>2.4</v>
      </c>
      <c r="U82" s="11">
        <v>2.7</v>
      </c>
      <c r="V82" s="5">
        <v>45972.523402777777</v>
      </c>
      <c r="W82" s="5">
        <v>45972.523576388892</v>
      </c>
      <c r="X82" s="6">
        <v>1.736111007630825E-4</v>
      </c>
    </row>
    <row r="83" spans="1:24" x14ac:dyDescent="0.3">
      <c r="A83" s="2">
        <v>83</v>
      </c>
      <c r="B83" t="s">
        <v>163</v>
      </c>
      <c r="C83" t="s">
        <v>137</v>
      </c>
      <c r="D83" t="s">
        <v>56</v>
      </c>
      <c r="E83" t="s">
        <v>110</v>
      </c>
      <c r="F83" t="s">
        <v>48</v>
      </c>
      <c r="G83" s="11">
        <v>9.1</v>
      </c>
      <c r="H83" s="11">
        <v>5.8</v>
      </c>
      <c r="I83" s="11">
        <v>0.9</v>
      </c>
      <c r="J83" s="11">
        <v>27.5</v>
      </c>
      <c r="K83" s="11">
        <v>47.6</v>
      </c>
      <c r="L83" s="11">
        <v>33.299999999999997</v>
      </c>
      <c r="M83" s="7">
        <v>8.09</v>
      </c>
      <c r="N83" s="4">
        <v>25</v>
      </c>
      <c r="O83" s="11">
        <v>2.1</v>
      </c>
      <c r="P83" s="11">
        <v>5.2</v>
      </c>
      <c r="Q83" s="11">
        <v>3.6</v>
      </c>
      <c r="R83" s="11">
        <v>1.8</v>
      </c>
      <c r="S83" s="11">
        <v>4.2</v>
      </c>
      <c r="T83" s="11">
        <v>2</v>
      </c>
      <c r="U83" s="11">
        <v>3.1</v>
      </c>
      <c r="V83" s="5">
        <v>45972.566168981481</v>
      </c>
      <c r="W83" s="5">
        <v>45972.566435185188</v>
      </c>
      <c r="X83" s="6">
        <v>2.662037150003016E-4</v>
      </c>
    </row>
    <row r="84" spans="1:24" x14ac:dyDescent="0.3">
      <c r="A84" s="2">
        <v>84</v>
      </c>
      <c r="B84" t="s">
        <v>164</v>
      </c>
      <c r="C84" t="s">
        <v>137</v>
      </c>
      <c r="D84" t="s">
        <v>58</v>
      </c>
      <c r="E84" t="s">
        <v>26</v>
      </c>
      <c r="F84" t="s">
        <v>48</v>
      </c>
      <c r="G84" s="11">
        <v>11</v>
      </c>
      <c r="H84" s="11">
        <v>44.8</v>
      </c>
      <c r="I84" s="11">
        <v>2</v>
      </c>
      <c r="J84" s="11">
        <v>14.3</v>
      </c>
      <c r="K84" s="3" t="s">
        <v>54</v>
      </c>
      <c r="L84" s="11">
        <v>12.5</v>
      </c>
      <c r="M84" s="7">
        <v>8.8000000000000007</v>
      </c>
      <c r="N84" s="4">
        <v>25</v>
      </c>
      <c r="O84" s="11">
        <v>26.1</v>
      </c>
      <c r="P84" s="3" t="s">
        <v>59</v>
      </c>
      <c r="Q84" s="11">
        <v>10.199999999999999</v>
      </c>
      <c r="R84" s="11">
        <v>3.5</v>
      </c>
      <c r="S84" s="11">
        <v>42.8</v>
      </c>
      <c r="T84" s="11">
        <v>39.799999999999997</v>
      </c>
      <c r="U84" s="11">
        <v>28.6</v>
      </c>
      <c r="V84" s="5">
        <v>45972.566608796296</v>
      </c>
      <c r="W84" s="5">
        <v>45972.566736111112</v>
      </c>
      <c r="X84" s="6">
        <v>1.2731482274830341E-4</v>
      </c>
    </row>
    <row r="85" spans="1:24" x14ac:dyDescent="0.3">
      <c r="A85" s="2">
        <v>85</v>
      </c>
      <c r="B85" t="s">
        <v>165</v>
      </c>
      <c r="C85" t="s">
        <v>137</v>
      </c>
      <c r="D85" t="s">
        <v>61</v>
      </c>
      <c r="E85" t="s">
        <v>26</v>
      </c>
      <c r="F85" t="s">
        <v>48</v>
      </c>
      <c r="G85" s="11">
        <v>7.8</v>
      </c>
      <c r="H85" s="11">
        <v>24</v>
      </c>
      <c r="I85" s="11">
        <v>0.6</v>
      </c>
      <c r="J85" s="11">
        <v>16.899999999999999</v>
      </c>
      <c r="K85" s="11">
        <v>1.2</v>
      </c>
      <c r="L85" s="11">
        <v>16.8</v>
      </c>
      <c r="M85" s="7">
        <v>9.27</v>
      </c>
      <c r="N85" s="4">
        <v>25</v>
      </c>
      <c r="O85" s="11">
        <v>6.8</v>
      </c>
      <c r="P85" s="3" t="s">
        <v>59</v>
      </c>
      <c r="Q85" s="11">
        <v>17.600000000000001</v>
      </c>
      <c r="R85" s="11">
        <v>5.6</v>
      </c>
      <c r="S85" s="11">
        <v>15.2</v>
      </c>
      <c r="T85" s="11">
        <v>21.6</v>
      </c>
      <c r="U85" s="11">
        <v>26.5</v>
      </c>
      <c r="V85" s="5">
        <v>45972.566932870373</v>
      </c>
      <c r="W85" s="5">
        <v>45972.567060185182</v>
      </c>
      <c r="X85" s="6">
        <v>1.2731482274830341E-4</v>
      </c>
    </row>
    <row r="86" spans="1:24" x14ac:dyDescent="0.3">
      <c r="A86" s="2">
        <v>86</v>
      </c>
      <c r="B86" t="s">
        <v>166</v>
      </c>
      <c r="C86" t="s">
        <v>137</v>
      </c>
      <c r="D86" t="s">
        <v>63</v>
      </c>
      <c r="E86" t="s">
        <v>26</v>
      </c>
      <c r="F86" t="s">
        <v>48</v>
      </c>
      <c r="G86" s="11">
        <v>11.7</v>
      </c>
      <c r="H86" s="11">
        <v>27.7</v>
      </c>
      <c r="I86" s="11">
        <v>3.1</v>
      </c>
      <c r="J86" s="11">
        <v>13.6</v>
      </c>
      <c r="K86" s="3" t="s">
        <v>54</v>
      </c>
      <c r="L86" s="11">
        <v>11.8</v>
      </c>
      <c r="M86" s="7">
        <v>12.01</v>
      </c>
      <c r="N86" s="4">
        <v>25</v>
      </c>
      <c r="O86" s="11">
        <v>18.2</v>
      </c>
      <c r="P86" s="11">
        <v>34</v>
      </c>
      <c r="Q86" s="11">
        <v>17.5</v>
      </c>
      <c r="R86" s="11">
        <v>7.8</v>
      </c>
      <c r="S86" s="11">
        <v>34</v>
      </c>
      <c r="T86" s="11">
        <v>37.5</v>
      </c>
      <c r="U86" s="11">
        <v>22.3</v>
      </c>
      <c r="V86" s="5">
        <v>45972.56726851852</v>
      </c>
      <c r="W86" s="5">
        <v>45972.567395833335</v>
      </c>
      <c r="X86" s="6">
        <v>1.3888889225199819E-4</v>
      </c>
    </row>
    <row r="87" spans="1:24" x14ac:dyDescent="0.3">
      <c r="A87" s="2">
        <v>87</v>
      </c>
      <c r="B87" t="s">
        <v>167</v>
      </c>
      <c r="C87" t="s">
        <v>137</v>
      </c>
      <c r="D87" t="s">
        <v>65</v>
      </c>
      <c r="E87" t="s">
        <v>26</v>
      </c>
      <c r="F87" t="s">
        <v>48</v>
      </c>
      <c r="G87" s="11">
        <v>11.2</v>
      </c>
      <c r="H87" s="11">
        <v>11.9</v>
      </c>
      <c r="I87" s="11">
        <v>1.6</v>
      </c>
      <c r="J87" s="11">
        <v>26.3</v>
      </c>
      <c r="K87" s="11">
        <v>22</v>
      </c>
      <c r="L87" s="11">
        <v>29.3</v>
      </c>
      <c r="M87" s="7">
        <v>6.31</v>
      </c>
      <c r="N87" s="4">
        <v>25</v>
      </c>
      <c r="O87" s="11">
        <v>3.5</v>
      </c>
      <c r="P87" s="11">
        <v>54.8</v>
      </c>
      <c r="Q87" s="11">
        <v>7.6</v>
      </c>
      <c r="R87" s="11">
        <v>1.5</v>
      </c>
      <c r="S87" s="11">
        <v>3.9</v>
      </c>
      <c r="T87" s="11">
        <v>5.5</v>
      </c>
      <c r="U87" s="11">
        <v>5.0999999999999996</v>
      </c>
      <c r="V87" s="5">
        <v>45972.567546296297</v>
      </c>
      <c r="W87" s="5">
        <v>45972.567673611113</v>
      </c>
      <c r="X87" s="6">
        <v>1.2731482274830341E-4</v>
      </c>
    </row>
    <row r="88" spans="1:24" x14ac:dyDescent="0.3">
      <c r="A88" s="2">
        <v>88</v>
      </c>
      <c r="B88" t="s">
        <v>168</v>
      </c>
      <c r="C88" t="s">
        <v>137</v>
      </c>
      <c r="D88" t="s">
        <v>67</v>
      </c>
      <c r="E88" t="s">
        <v>26</v>
      </c>
      <c r="F88" t="s">
        <v>48</v>
      </c>
      <c r="G88" s="11">
        <v>10.5</v>
      </c>
      <c r="H88" s="11">
        <v>17.399999999999999</v>
      </c>
      <c r="I88" s="11">
        <v>4.0999999999999996</v>
      </c>
      <c r="J88" s="11">
        <v>15.4</v>
      </c>
      <c r="K88" s="3" t="s">
        <v>54</v>
      </c>
      <c r="L88" s="11">
        <v>22.8</v>
      </c>
      <c r="M88" s="7">
        <v>18.43</v>
      </c>
      <c r="N88" s="4">
        <v>25</v>
      </c>
      <c r="O88" s="11">
        <v>24.5</v>
      </c>
      <c r="P88" s="3" t="s">
        <v>59</v>
      </c>
      <c r="Q88" s="3" t="s">
        <v>68</v>
      </c>
      <c r="R88" s="11">
        <v>6.7</v>
      </c>
      <c r="S88" s="11">
        <v>25.3</v>
      </c>
      <c r="T88" s="11">
        <v>44.9</v>
      </c>
      <c r="U88" s="11">
        <v>34.5</v>
      </c>
      <c r="V88" s="5">
        <v>45972.567858796298</v>
      </c>
      <c r="W88" s="5">
        <v>45972.567997685182</v>
      </c>
      <c r="X88" s="6">
        <v>1.3888889225199819E-4</v>
      </c>
    </row>
    <row r="89" spans="1:24" x14ac:dyDescent="0.3">
      <c r="A89" s="2">
        <v>89</v>
      </c>
      <c r="B89" t="s">
        <v>169</v>
      </c>
      <c r="C89" t="s">
        <v>137</v>
      </c>
      <c r="D89" t="s">
        <v>70</v>
      </c>
      <c r="E89" t="s">
        <v>26</v>
      </c>
      <c r="F89" t="s">
        <v>48</v>
      </c>
      <c r="G89" s="11">
        <v>10.7</v>
      </c>
      <c r="H89" s="11">
        <v>22.2</v>
      </c>
      <c r="I89" s="11">
        <v>2.2999999999999998</v>
      </c>
      <c r="J89" s="11">
        <v>17.100000000000001</v>
      </c>
      <c r="K89" s="3" t="s">
        <v>54</v>
      </c>
      <c r="L89" s="11">
        <v>18.399999999999999</v>
      </c>
      <c r="M89" s="7">
        <v>10.130000000000001</v>
      </c>
      <c r="N89" s="4">
        <v>25</v>
      </c>
      <c r="O89" s="11">
        <v>8.5</v>
      </c>
      <c r="P89" s="11">
        <v>10.8</v>
      </c>
      <c r="Q89" s="11">
        <v>6.1</v>
      </c>
      <c r="R89" s="11">
        <v>3.8</v>
      </c>
      <c r="S89" s="11">
        <v>12.4</v>
      </c>
      <c r="T89" s="11">
        <v>14.5</v>
      </c>
      <c r="U89" s="11">
        <v>10.199999999999999</v>
      </c>
      <c r="V89" s="5">
        <v>45972.568171296298</v>
      </c>
      <c r="W89" s="5">
        <v>45972.568310185183</v>
      </c>
      <c r="X89" s="6">
        <v>1.2731482274830341E-4</v>
      </c>
    </row>
    <row r="90" spans="1:24" x14ac:dyDescent="0.3">
      <c r="A90" s="2">
        <v>90</v>
      </c>
      <c r="B90" t="s">
        <v>170</v>
      </c>
      <c r="C90" t="s">
        <v>137</v>
      </c>
      <c r="D90" t="s">
        <v>72</v>
      </c>
      <c r="E90" t="s">
        <v>26</v>
      </c>
      <c r="F90" t="s">
        <v>48</v>
      </c>
      <c r="G90" s="11">
        <v>10.3</v>
      </c>
      <c r="H90" s="3" t="s">
        <v>59</v>
      </c>
      <c r="I90" s="11">
        <v>1.9</v>
      </c>
      <c r="J90" s="11">
        <v>16.899999999999999</v>
      </c>
      <c r="K90" s="3" t="s">
        <v>54</v>
      </c>
      <c r="L90" s="11">
        <v>14.5</v>
      </c>
      <c r="M90" s="7">
        <v>10.53</v>
      </c>
      <c r="N90" s="4">
        <v>25</v>
      </c>
      <c r="O90" s="11">
        <v>54.8</v>
      </c>
      <c r="P90" s="3" t="s">
        <v>59</v>
      </c>
      <c r="Q90" s="11">
        <v>18.2</v>
      </c>
      <c r="R90" s="11">
        <v>4.2</v>
      </c>
      <c r="S90" s="11">
        <v>65.2</v>
      </c>
      <c r="T90" s="11">
        <v>68.900000000000006</v>
      </c>
      <c r="U90" s="11">
        <v>50.6</v>
      </c>
      <c r="V90" s="5">
        <v>45972.568483796298</v>
      </c>
      <c r="W90" s="5">
        <v>45972.568611111114</v>
      </c>
      <c r="X90" s="6">
        <v>1.2731482274830341E-4</v>
      </c>
    </row>
    <row r="91" spans="1:24" x14ac:dyDescent="0.3">
      <c r="A91" s="2">
        <v>91</v>
      </c>
      <c r="B91" t="s">
        <v>171</v>
      </c>
      <c r="C91" t="s">
        <v>137</v>
      </c>
      <c r="D91" t="s">
        <v>74</v>
      </c>
      <c r="E91" t="s">
        <v>26</v>
      </c>
      <c r="F91" t="s">
        <v>48</v>
      </c>
      <c r="G91" s="11">
        <v>11.6</v>
      </c>
      <c r="H91" s="11">
        <v>23.4</v>
      </c>
      <c r="I91" s="11">
        <v>1.9</v>
      </c>
      <c r="J91" s="11">
        <v>20.100000000000001</v>
      </c>
      <c r="K91" s="11">
        <v>11.7</v>
      </c>
      <c r="L91" s="11">
        <v>25.2</v>
      </c>
      <c r="M91" s="7">
        <v>9.02</v>
      </c>
      <c r="N91" s="4">
        <v>25</v>
      </c>
      <c r="O91" s="11">
        <v>10.4</v>
      </c>
      <c r="P91" s="11">
        <v>11.4</v>
      </c>
      <c r="Q91" s="11">
        <v>4.9000000000000004</v>
      </c>
      <c r="R91" s="11">
        <v>1.4</v>
      </c>
      <c r="S91" s="11">
        <v>6.8</v>
      </c>
      <c r="T91" s="11">
        <v>8.3000000000000007</v>
      </c>
      <c r="U91" s="11">
        <v>11.7</v>
      </c>
      <c r="V91" s="5">
        <v>45972.568819444445</v>
      </c>
      <c r="W91" s="5">
        <v>45972.568969907406</v>
      </c>
      <c r="X91" s="6">
        <v>1.5046296175569296E-4</v>
      </c>
    </row>
    <row r="92" spans="1:24" x14ac:dyDescent="0.3">
      <c r="A92" s="2">
        <v>92</v>
      </c>
      <c r="B92" t="s">
        <v>172</v>
      </c>
      <c r="C92" t="s">
        <v>137</v>
      </c>
      <c r="D92" t="s">
        <v>76</v>
      </c>
      <c r="E92" t="s">
        <v>26</v>
      </c>
      <c r="F92" t="s">
        <v>48</v>
      </c>
      <c r="G92" s="11">
        <v>8.3000000000000007</v>
      </c>
      <c r="H92" s="11">
        <v>3.4</v>
      </c>
      <c r="I92" s="11">
        <v>0.7</v>
      </c>
      <c r="J92" s="11">
        <v>29</v>
      </c>
      <c r="K92" s="11">
        <v>49.6</v>
      </c>
      <c r="L92" s="11">
        <v>36</v>
      </c>
      <c r="M92" s="7">
        <v>9.24</v>
      </c>
      <c r="N92" s="4">
        <v>25</v>
      </c>
      <c r="O92" s="11">
        <v>1</v>
      </c>
      <c r="P92" s="11">
        <v>7</v>
      </c>
      <c r="Q92" s="11">
        <v>2.5</v>
      </c>
      <c r="R92" s="11">
        <v>0.6</v>
      </c>
      <c r="S92" s="11">
        <v>1.5</v>
      </c>
      <c r="T92" s="11">
        <v>1.6</v>
      </c>
      <c r="U92" s="11">
        <v>2.2999999999999998</v>
      </c>
      <c r="V92" s="5">
        <v>45972.569120370368</v>
      </c>
      <c r="W92" s="5">
        <v>45972.56925925926</v>
      </c>
      <c r="X92" s="6">
        <v>1.3888889225199819E-4</v>
      </c>
    </row>
    <row r="93" spans="1:24" x14ac:dyDescent="0.3">
      <c r="A93" s="2">
        <v>93</v>
      </c>
      <c r="B93" t="s">
        <v>173</v>
      </c>
      <c r="C93" t="s">
        <v>137</v>
      </c>
      <c r="D93" t="s">
        <v>78</v>
      </c>
      <c r="E93" t="s">
        <v>26</v>
      </c>
      <c r="F93" t="s">
        <v>48</v>
      </c>
      <c r="G93" s="11">
        <v>11.5</v>
      </c>
      <c r="H93" s="11">
        <v>18</v>
      </c>
      <c r="I93" s="11">
        <v>2</v>
      </c>
      <c r="J93" s="11">
        <v>18.600000000000001</v>
      </c>
      <c r="K93" s="11">
        <v>17.5</v>
      </c>
      <c r="L93" s="11">
        <v>24.5</v>
      </c>
      <c r="M93" s="7">
        <v>10.32</v>
      </c>
      <c r="N93" s="4">
        <v>25</v>
      </c>
      <c r="O93" s="11">
        <v>10.3</v>
      </c>
      <c r="P93" s="11">
        <v>10.199999999999999</v>
      </c>
      <c r="Q93" s="11">
        <v>6.1</v>
      </c>
      <c r="R93" s="11">
        <v>3.6</v>
      </c>
      <c r="S93" s="11">
        <v>5.7</v>
      </c>
      <c r="T93" s="11">
        <v>7.8</v>
      </c>
      <c r="U93" s="11">
        <v>12</v>
      </c>
      <c r="V93" s="5">
        <v>45972.569444444445</v>
      </c>
      <c r="W93" s="5">
        <v>45972.569571759261</v>
      </c>
      <c r="X93" s="6">
        <v>1.2731482274830341E-4</v>
      </c>
    </row>
    <row r="94" spans="1:24" x14ac:dyDescent="0.3">
      <c r="A94" s="2">
        <v>94</v>
      </c>
      <c r="B94" t="s">
        <v>174</v>
      </c>
      <c r="C94" t="s">
        <v>137</v>
      </c>
      <c r="D94" t="s">
        <v>80</v>
      </c>
      <c r="E94" t="s">
        <v>26</v>
      </c>
      <c r="F94" t="s">
        <v>48</v>
      </c>
      <c r="G94" s="11">
        <v>10.5</v>
      </c>
      <c r="H94" s="11">
        <v>11.7</v>
      </c>
      <c r="I94" s="11">
        <v>0.7</v>
      </c>
      <c r="J94" s="11">
        <v>27.9</v>
      </c>
      <c r="K94" s="11">
        <v>25.1</v>
      </c>
      <c r="L94" s="11">
        <v>32.700000000000003</v>
      </c>
      <c r="M94" s="7">
        <v>5.99</v>
      </c>
      <c r="N94" s="4">
        <v>25</v>
      </c>
      <c r="O94" s="11">
        <v>1.6</v>
      </c>
      <c r="P94" s="11">
        <v>11.8</v>
      </c>
      <c r="Q94" s="11">
        <v>2</v>
      </c>
      <c r="R94" s="11">
        <v>0.4</v>
      </c>
      <c r="S94" s="11">
        <v>1.6</v>
      </c>
      <c r="T94" s="11">
        <v>4.7</v>
      </c>
      <c r="U94" s="11">
        <v>4.7</v>
      </c>
      <c r="V94" s="5">
        <v>45972.569722222222</v>
      </c>
      <c r="W94" s="5">
        <v>45972.569849537038</v>
      </c>
      <c r="X94" s="6">
        <v>1.2731482274830341E-4</v>
      </c>
    </row>
    <row r="95" spans="1:24" x14ac:dyDescent="0.3">
      <c r="A95" s="2">
        <v>95</v>
      </c>
      <c r="B95" t="s">
        <v>175</v>
      </c>
      <c r="C95" t="s">
        <v>137</v>
      </c>
      <c r="D95" t="s">
        <v>82</v>
      </c>
      <c r="E95" t="s">
        <v>26</v>
      </c>
      <c r="F95" t="s">
        <v>48</v>
      </c>
      <c r="G95" s="11">
        <v>12.7</v>
      </c>
      <c r="H95" s="11">
        <v>27.1</v>
      </c>
      <c r="I95" s="11">
        <v>1.5</v>
      </c>
      <c r="J95" s="11">
        <v>17</v>
      </c>
      <c r="K95" s="11">
        <v>15.8</v>
      </c>
      <c r="L95" s="11">
        <v>23</v>
      </c>
      <c r="M95" s="7">
        <v>9.65</v>
      </c>
      <c r="N95" s="4">
        <v>25</v>
      </c>
      <c r="O95" s="11">
        <v>15.7</v>
      </c>
      <c r="P95" s="11">
        <v>10.9</v>
      </c>
      <c r="Q95" s="11">
        <v>6.6</v>
      </c>
      <c r="R95" s="11">
        <v>3.6</v>
      </c>
      <c r="S95" s="11">
        <v>6.7</v>
      </c>
      <c r="T95" s="11">
        <v>7.8</v>
      </c>
      <c r="U95" s="11">
        <v>15</v>
      </c>
      <c r="V95" s="5">
        <v>45972.570057870369</v>
      </c>
      <c r="W95" s="5">
        <v>45972.570185185185</v>
      </c>
      <c r="X95" s="6">
        <v>1.2731482274830341E-4</v>
      </c>
    </row>
    <row r="96" spans="1:24" x14ac:dyDescent="0.3">
      <c r="A96" s="2">
        <v>96</v>
      </c>
      <c r="B96" t="s">
        <v>176</v>
      </c>
      <c r="C96" t="s">
        <v>137</v>
      </c>
      <c r="D96" t="s">
        <v>84</v>
      </c>
      <c r="E96" t="s">
        <v>26</v>
      </c>
      <c r="F96" t="s">
        <v>48</v>
      </c>
      <c r="G96" s="11">
        <v>10.5</v>
      </c>
      <c r="H96" s="11">
        <v>11.7</v>
      </c>
      <c r="I96" s="11">
        <v>2</v>
      </c>
      <c r="J96" s="11">
        <v>24.7</v>
      </c>
      <c r="K96" s="11">
        <v>18.3</v>
      </c>
      <c r="L96" s="11">
        <v>26.5</v>
      </c>
      <c r="M96" s="7">
        <v>7.05</v>
      </c>
      <c r="N96" s="4">
        <v>25</v>
      </c>
      <c r="O96" s="11">
        <v>3.6</v>
      </c>
      <c r="P96" s="11">
        <v>42.2</v>
      </c>
      <c r="Q96" s="11">
        <v>7.7</v>
      </c>
      <c r="R96" s="11">
        <v>2.2999999999999998</v>
      </c>
      <c r="S96" s="11">
        <v>3.4</v>
      </c>
      <c r="T96" s="11">
        <v>5.3</v>
      </c>
      <c r="U96" s="11">
        <v>4.2</v>
      </c>
      <c r="V96" s="5">
        <v>45972.570347222223</v>
      </c>
      <c r="W96" s="5">
        <v>45972.570509259262</v>
      </c>
      <c r="X96" s="6">
        <v>1.736111007630825E-4</v>
      </c>
    </row>
    <row r="97" spans="1:24" x14ac:dyDescent="0.3">
      <c r="A97" s="2">
        <v>97</v>
      </c>
      <c r="B97" t="s">
        <v>177</v>
      </c>
      <c r="C97" t="s">
        <v>137</v>
      </c>
      <c r="D97" t="s">
        <v>86</v>
      </c>
      <c r="E97" t="s">
        <v>26</v>
      </c>
      <c r="F97" t="s">
        <v>48</v>
      </c>
      <c r="G97" s="11">
        <v>11.3</v>
      </c>
      <c r="H97" s="11">
        <v>22</v>
      </c>
      <c r="I97" s="11">
        <v>1.4</v>
      </c>
      <c r="J97" s="11">
        <v>24.7</v>
      </c>
      <c r="K97" s="11">
        <v>4.0999999999999996</v>
      </c>
      <c r="L97" s="11">
        <v>27.2</v>
      </c>
      <c r="M97" s="7">
        <v>9.59</v>
      </c>
      <c r="N97" s="4">
        <v>25</v>
      </c>
      <c r="O97" s="11">
        <v>11.2</v>
      </c>
      <c r="P97" s="11">
        <v>18.600000000000001</v>
      </c>
      <c r="Q97" s="11">
        <v>11.5</v>
      </c>
      <c r="R97" s="11">
        <v>2.5</v>
      </c>
      <c r="S97" s="11">
        <v>11.1</v>
      </c>
      <c r="T97" s="11">
        <v>17.100000000000001</v>
      </c>
      <c r="U97" s="11">
        <v>9.4</v>
      </c>
      <c r="V97" s="5">
        <v>45972.570648148147</v>
      </c>
      <c r="W97" s="5">
        <v>45972.570787037039</v>
      </c>
      <c r="X97" s="6">
        <v>1.3888889225199819E-4</v>
      </c>
    </row>
    <row r="98" spans="1:24" x14ac:dyDescent="0.3">
      <c r="A98" s="2">
        <v>98</v>
      </c>
      <c r="B98" t="s">
        <v>178</v>
      </c>
      <c r="C98" t="s">
        <v>137</v>
      </c>
      <c r="D98" t="s">
        <v>88</v>
      </c>
      <c r="E98" t="s">
        <v>26</v>
      </c>
      <c r="F98" t="s">
        <v>48</v>
      </c>
      <c r="G98" s="11">
        <v>10.3</v>
      </c>
      <c r="H98" s="11">
        <v>26.3</v>
      </c>
      <c r="I98" s="11">
        <v>3.5</v>
      </c>
      <c r="J98" s="11">
        <v>16.899999999999999</v>
      </c>
      <c r="K98" s="3" t="s">
        <v>54</v>
      </c>
      <c r="L98" s="11">
        <v>19.2</v>
      </c>
      <c r="M98" s="7">
        <v>9.9499999999999993</v>
      </c>
      <c r="N98" s="4">
        <v>25</v>
      </c>
      <c r="O98" s="11">
        <v>9.5</v>
      </c>
      <c r="P98" s="11">
        <v>34</v>
      </c>
      <c r="Q98" s="11">
        <v>19.899999999999999</v>
      </c>
      <c r="R98" s="11">
        <v>1.9</v>
      </c>
      <c r="S98" s="11">
        <v>21.7</v>
      </c>
      <c r="T98" s="11">
        <v>27</v>
      </c>
      <c r="U98" s="11">
        <v>11.7</v>
      </c>
      <c r="V98" s="5">
        <v>45972.570949074077</v>
      </c>
      <c r="W98" s="5">
        <v>45972.571076388886</v>
      </c>
      <c r="X98" s="6">
        <v>1.2731482274830341E-4</v>
      </c>
    </row>
    <row r="99" spans="1:24" x14ac:dyDescent="0.3">
      <c r="A99" s="2">
        <v>99</v>
      </c>
      <c r="B99" t="s">
        <v>179</v>
      </c>
      <c r="C99" t="s">
        <v>137</v>
      </c>
      <c r="D99" t="s">
        <v>90</v>
      </c>
      <c r="E99" t="s">
        <v>26</v>
      </c>
      <c r="F99" t="s">
        <v>48</v>
      </c>
      <c r="G99" s="11">
        <v>12.2</v>
      </c>
      <c r="H99" s="11">
        <v>19.7</v>
      </c>
      <c r="I99" s="11">
        <v>1.3</v>
      </c>
      <c r="J99" s="11">
        <v>21.9</v>
      </c>
      <c r="K99" s="11">
        <v>2.2000000000000002</v>
      </c>
      <c r="L99" s="11">
        <v>24.1</v>
      </c>
      <c r="M99" s="7">
        <v>10.37</v>
      </c>
      <c r="N99" s="4">
        <v>25</v>
      </c>
      <c r="O99" s="11">
        <v>10.1</v>
      </c>
      <c r="P99" s="11">
        <v>17.100000000000001</v>
      </c>
      <c r="Q99" s="11">
        <v>4.9000000000000004</v>
      </c>
      <c r="R99" s="11">
        <v>1.5</v>
      </c>
      <c r="S99" s="11">
        <v>7.9</v>
      </c>
      <c r="T99" s="11">
        <v>14.3</v>
      </c>
      <c r="U99" s="11">
        <v>11.3</v>
      </c>
      <c r="V99" s="5">
        <v>45972.571226851855</v>
      </c>
      <c r="W99" s="5">
        <v>45972.57135416667</v>
      </c>
      <c r="X99" s="6">
        <v>1.2731482274830341E-4</v>
      </c>
    </row>
    <row r="100" spans="1:24" x14ac:dyDescent="0.3">
      <c r="A100" s="2">
        <v>100</v>
      </c>
      <c r="B100" t="s">
        <v>180</v>
      </c>
      <c r="C100" t="s">
        <v>137</v>
      </c>
      <c r="D100" t="s">
        <v>92</v>
      </c>
      <c r="E100" t="s">
        <v>26</v>
      </c>
      <c r="F100" t="s">
        <v>48</v>
      </c>
      <c r="G100" s="11">
        <v>8.5</v>
      </c>
      <c r="H100" s="11">
        <v>21.5</v>
      </c>
      <c r="I100" s="11">
        <v>0.7</v>
      </c>
      <c r="J100" s="11">
        <v>26</v>
      </c>
      <c r="K100" s="11">
        <v>8.1999999999999993</v>
      </c>
      <c r="L100" s="11">
        <v>27</v>
      </c>
      <c r="M100" s="7">
        <v>8.07</v>
      </c>
      <c r="N100" s="4">
        <v>25</v>
      </c>
      <c r="O100" s="11">
        <v>0.6</v>
      </c>
      <c r="P100" s="11">
        <v>11</v>
      </c>
      <c r="Q100" s="11">
        <v>1.6</v>
      </c>
      <c r="R100" s="11">
        <v>1</v>
      </c>
      <c r="S100" s="11">
        <v>3.4</v>
      </c>
      <c r="T100" s="11">
        <v>6.9</v>
      </c>
      <c r="U100" s="11">
        <v>1.5</v>
      </c>
      <c r="V100" s="5">
        <v>45972.571597222224</v>
      </c>
      <c r="W100" s="5">
        <v>45972.57172453704</v>
      </c>
      <c r="X100" s="6">
        <v>1.2731482274830341E-4</v>
      </c>
    </row>
    <row r="101" spans="1:24" x14ac:dyDescent="0.3">
      <c r="A101" s="2">
        <v>101</v>
      </c>
      <c r="B101" t="s">
        <v>181</v>
      </c>
      <c r="C101" t="s">
        <v>137</v>
      </c>
      <c r="D101" t="s">
        <v>94</v>
      </c>
      <c r="E101" t="s">
        <v>26</v>
      </c>
      <c r="F101" t="s">
        <v>48</v>
      </c>
      <c r="G101" s="11">
        <v>12</v>
      </c>
      <c r="H101" s="11">
        <v>17.8</v>
      </c>
      <c r="I101" s="11">
        <v>1.3</v>
      </c>
      <c r="J101" s="11">
        <v>22.7</v>
      </c>
      <c r="K101" s="11">
        <v>8.1</v>
      </c>
      <c r="L101" s="11">
        <v>23.3</v>
      </c>
      <c r="M101" s="7">
        <v>8.86</v>
      </c>
      <c r="N101" s="4">
        <v>25</v>
      </c>
      <c r="O101" s="11">
        <v>6</v>
      </c>
      <c r="P101" s="11">
        <v>18.7</v>
      </c>
      <c r="Q101" s="11">
        <v>6.2</v>
      </c>
      <c r="R101" s="11">
        <v>1.8</v>
      </c>
      <c r="S101" s="11">
        <v>6.4</v>
      </c>
      <c r="T101" s="11">
        <v>10.199999999999999</v>
      </c>
      <c r="U101" s="11">
        <v>6</v>
      </c>
      <c r="V101" s="5">
        <v>45972.571886574071</v>
      </c>
      <c r="W101" s="5">
        <v>45972.572013888886</v>
      </c>
      <c r="X101" s="6">
        <v>1.2731482274830341E-4</v>
      </c>
    </row>
    <row r="102" spans="1:24" x14ac:dyDescent="0.3">
      <c r="A102" s="2">
        <v>102</v>
      </c>
      <c r="B102" t="s">
        <v>182</v>
      </c>
      <c r="C102" t="s">
        <v>137</v>
      </c>
      <c r="D102" t="s">
        <v>96</v>
      </c>
      <c r="E102" t="s">
        <v>26</v>
      </c>
      <c r="F102" t="s">
        <v>48</v>
      </c>
      <c r="G102" s="11">
        <v>12.7</v>
      </c>
      <c r="H102" s="11">
        <v>21.3</v>
      </c>
      <c r="I102" s="11">
        <v>1.1000000000000001</v>
      </c>
      <c r="J102" s="11">
        <v>23.4</v>
      </c>
      <c r="K102" s="11">
        <v>5.5</v>
      </c>
      <c r="L102" s="11">
        <v>24.1</v>
      </c>
      <c r="M102" s="7">
        <v>8.68</v>
      </c>
      <c r="N102" s="4">
        <v>25</v>
      </c>
      <c r="O102" s="11">
        <v>9.6999999999999993</v>
      </c>
      <c r="P102" s="11">
        <v>23.6</v>
      </c>
      <c r="Q102" s="11">
        <v>8.5</v>
      </c>
      <c r="R102" s="11">
        <v>2.2999999999999998</v>
      </c>
      <c r="S102" s="11">
        <v>8.9</v>
      </c>
      <c r="T102" s="11">
        <v>14.5</v>
      </c>
      <c r="U102" s="11">
        <v>9.4</v>
      </c>
      <c r="V102" s="5">
        <v>45972.572164351855</v>
      </c>
      <c r="W102" s="5">
        <v>45972.572291666664</v>
      </c>
      <c r="X102" s="6">
        <v>1.2731482274830341E-4</v>
      </c>
    </row>
    <row r="103" spans="1:24" x14ac:dyDescent="0.3">
      <c r="A103" s="2">
        <v>103</v>
      </c>
      <c r="B103" t="s">
        <v>183</v>
      </c>
      <c r="C103" t="s">
        <v>137</v>
      </c>
      <c r="D103" t="s">
        <v>98</v>
      </c>
      <c r="E103" t="s">
        <v>26</v>
      </c>
      <c r="F103" t="s">
        <v>48</v>
      </c>
      <c r="G103" s="11">
        <v>9.4</v>
      </c>
      <c r="H103" s="11">
        <v>15.4</v>
      </c>
      <c r="I103" s="11">
        <v>1</v>
      </c>
      <c r="J103" s="11">
        <v>25.5</v>
      </c>
      <c r="K103" s="11">
        <v>34.6</v>
      </c>
      <c r="L103" s="11">
        <v>33.700000000000003</v>
      </c>
      <c r="M103" s="7">
        <v>9.83</v>
      </c>
      <c r="N103" s="4">
        <v>25</v>
      </c>
      <c r="O103" s="11">
        <v>1.5</v>
      </c>
      <c r="P103" s="11">
        <v>7.5</v>
      </c>
      <c r="Q103" s="11">
        <v>2.6</v>
      </c>
      <c r="R103" s="11">
        <v>0.9</v>
      </c>
      <c r="S103" s="11">
        <v>2.1</v>
      </c>
      <c r="T103" s="11">
        <v>2.4</v>
      </c>
      <c r="U103" s="11">
        <v>2.1</v>
      </c>
      <c r="V103" s="5">
        <v>45972.572453703702</v>
      </c>
      <c r="W103" s="5">
        <v>45972.572592592594</v>
      </c>
      <c r="X103" s="6">
        <v>1.2731482274830341E-4</v>
      </c>
    </row>
    <row r="104" spans="1:24" x14ac:dyDescent="0.3">
      <c r="A104" s="2">
        <v>104</v>
      </c>
      <c r="B104" t="s">
        <v>184</v>
      </c>
      <c r="C104" t="s">
        <v>137</v>
      </c>
      <c r="D104" t="s">
        <v>100</v>
      </c>
      <c r="E104" t="s">
        <v>26</v>
      </c>
      <c r="F104" t="s">
        <v>48</v>
      </c>
      <c r="G104" s="11">
        <v>9.6999999999999993</v>
      </c>
      <c r="H104" s="11">
        <v>19</v>
      </c>
      <c r="I104" s="11">
        <v>0.7</v>
      </c>
      <c r="J104" s="11">
        <v>27.3</v>
      </c>
      <c r="K104" s="11">
        <v>23</v>
      </c>
      <c r="L104" s="11">
        <v>30.5</v>
      </c>
      <c r="M104" s="7">
        <v>6.13</v>
      </c>
      <c r="N104" s="4">
        <v>25</v>
      </c>
      <c r="O104" s="11">
        <v>1</v>
      </c>
      <c r="P104" s="11">
        <v>14.2</v>
      </c>
      <c r="Q104" s="11">
        <v>2.9</v>
      </c>
      <c r="R104" s="11">
        <v>1.1000000000000001</v>
      </c>
      <c r="S104" s="11">
        <v>3.2</v>
      </c>
      <c r="T104" s="11">
        <v>4</v>
      </c>
      <c r="U104" s="11">
        <v>2.7</v>
      </c>
      <c r="V104" s="5">
        <v>45972.572881944441</v>
      </c>
      <c r="W104" s="5">
        <v>45972.573020833333</v>
      </c>
      <c r="X104" s="6">
        <v>1.3888889225199819E-4</v>
      </c>
    </row>
    <row r="105" spans="1:24" x14ac:dyDescent="0.3">
      <c r="A105" s="2">
        <v>105</v>
      </c>
      <c r="B105" t="s">
        <v>185</v>
      </c>
      <c r="C105" t="s">
        <v>137</v>
      </c>
      <c r="D105" t="s">
        <v>102</v>
      </c>
      <c r="E105" t="s">
        <v>26</v>
      </c>
      <c r="F105" t="s">
        <v>48</v>
      </c>
      <c r="G105" s="11">
        <v>12.7</v>
      </c>
      <c r="H105" s="11">
        <v>26.1</v>
      </c>
      <c r="I105" s="11">
        <v>1.5</v>
      </c>
      <c r="J105" s="11">
        <v>17.100000000000001</v>
      </c>
      <c r="K105" s="11">
        <v>18.8</v>
      </c>
      <c r="L105" s="11">
        <v>23.4</v>
      </c>
      <c r="M105" s="7">
        <v>9.85</v>
      </c>
      <c r="N105" s="4">
        <v>25</v>
      </c>
      <c r="O105" s="11">
        <v>16.3</v>
      </c>
      <c r="P105" s="11">
        <v>10.6</v>
      </c>
      <c r="Q105" s="11">
        <v>6.9</v>
      </c>
      <c r="R105" s="11">
        <v>3.7</v>
      </c>
      <c r="S105" s="11">
        <v>6.8</v>
      </c>
      <c r="T105" s="11">
        <v>7.8</v>
      </c>
      <c r="U105" s="11">
        <v>16.100000000000001</v>
      </c>
      <c r="V105" s="5">
        <v>45972.573194444441</v>
      </c>
      <c r="W105" s="5">
        <v>45972.573333333334</v>
      </c>
      <c r="X105" s="6">
        <v>1.2731482274830341E-4</v>
      </c>
    </row>
    <row r="106" spans="1:24" x14ac:dyDescent="0.3">
      <c r="A106" s="2">
        <v>106</v>
      </c>
      <c r="B106" t="s">
        <v>186</v>
      </c>
      <c r="C106" t="s">
        <v>137</v>
      </c>
      <c r="D106" t="s">
        <v>104</v>
      </c>
      <c r="E106" t="s">
        <v>26</v>
      </c>
      <c r="F106" t="s">
        <v>48</v>
      </c>
      <c r="G106" s="11">
        <v>11.7</v>
      </c>
      <c r="H106" s="11">
        <v>15.9</v>
      </c>
      <c r="I106" s="11">
        <v>1.6</v>
      </c>
      <c r="J106" s="11">
        <v>18.899999999999999</v>
      </c>
      <c r="K106" s="11">
        <v>15.4</v>
      </c>
      <c r="L106" s="11">
        <v>22.9</v>
      </c>
      <c r="M106" s="7">
        <v>8.9499999999999993</v>
      </c>
      <c r="N106" s="4">
        <v>25</v>
      </c>
      <c r="O106" s="11">
        <v>7.3</v>
      </c>
      <c r="P106" s="11">
        <v>12.9</v>
      </c>
      <c r="Q106" s="11">
        <v>4</v>
      </c>
      <c r="R106" s="11">
        <v>3.6</v>
      </c>
      <c r="S106" s="11">
        <v>5.7</v>
      </c>
      <c r="T106" s="11">
        <v>6.1</v>
      </c>
      <c r="U106" s="11">
        <v>8.6999999999999993</v>
      </c>
      <c r="V106" s="5">
        <v>45972.573460648149</v>
      </c>
      <c r="W106" s="5">
        <v>45972.573587962965</v>
      </c>
      <c r="X106" s="6">
        <v>1.2731482274830341E-4</v>
      </c>
    </row>
    <row r="107" spans="1:24" x14ac:dyDescent="0.3">
      <c r="A107" s="2">
        <v>107</v>
      </c>
      <c r="B107" t="s">
        <v>187</v>
      </c>
      <c r="C107" t="s">
        <v>137</v>
      </c>
      <c r="D107" t="s">
        <v>106</v>
      </c>
      <c r="E107" t="s">
        <v>26</v>
      </c>
      <c r="F107" t="s">
        <v>48</v>
      </c>
      <c r="G107" s="11">
        <v>12.3</v>
      </c>
      <c r="H107" s="11">
        <v>18.100000000000001</v>
      </c>
      <c r="I107" s="11">
        <v>1.7</v>
      </c>
      <c r="J107" s="11">
        <v>18.600000000000001</v>
      </c>
      <c r="K107" s="11">
        <v>20.6</v>
      </c>
      <c r="L107" s="11">
        <v>24.3</v>
      </c>
      <c r="M107" s="7">
        <v>9.36</v>
      </c>
      <c r="N107" s="4">
        <v>25</v>
      </c>
      <c r="O107" s="11">
        <v>12.8</v>
      </c>
      <c r="P107" s="11">
        <v>15.1</v>
      </c>
      <c r="Q107" s="11">
        <v>6.6</v>
      </c>
      <c r="R107" s="11">
        <v>3.3</v>
      </c>
      <c r="S107" s="11">
        <v>7.2</v>
      </c>
      <c r="T107" s="11">
        <v>8.8000000000000007</v>
      </c>
      <c r="U107" s="11">
        <v>15.8</v>
      </c>
      <c r="V107" s="5">
        <v>45972.573773148149</v>
      </c>
      <c r="W107" s="5">
        <v>45972.573912037034</v>
      </c>
      <c r="X107" s="6">
        <v>1.3888889225199819E-4</v>
      </c>
    </row>
    <row r="108" spans="1:24" x14ac:dyDescent="0.3">
      <c r="A108" s="2">
        <v>108</v>
      </c>
      <c r="B108" t="s">
        <v>188</v>
      </c>
      <c r="C108" t="s">
        <v>137</v>
      </c>
      <c r="D108" t="s">
        <v>108</v>
      </c>
      <c r="E108" t="s">
        <v>26</v>
      </c>
      <c r="F108" t="s">
        <v>48</v>
      </c>
      <c r="G108" s="11">
        <v>9.5</v>
      </c>
      <c r="H108" s="11">
        <v>9.9</v>
      </c>
      <c r="I108" s="11">
        <v>0.9</v>
      </c>
      <c r="J108" s="11">
        <v>27.4</v>
      </c>
      <c r="K108" s="11">
        <v>30.1</v>
      </c>
      <c r="L108" s="11">
        <v>32.6</v>
      </c>
      <c r="M108" s="7">
        <v>7.69</v>
      </c>
      <c r="N108" s="4">
        <v>25</v>
      </c>
      <c r="O108" s="11">
        <v>1.2</v>
      </c>
      <c r="P108" s="11">
        <v>6</v>
      </c>
      <c r="Q108" s="11">
        <v>1.3</v>
      </c>
      <c r="R108" s="11">
        <v>0.2</v>
      </c>
      <c r="S108" s="11">
        <v>1.2</v>
      </c>
      <c r="T108" s="11">
        <v>2.6</v>
      </c>
      <c r="U108" s="11">
        <v>2.4</v>
      </c>
      <c r="V108" s="5">
        <v>45972.574050925927</v>
      </c>
      <c r="W108" s="5">
        <v>45972.574178240742</v>
      </c>
      <c r="X108" s="6">
        <v>1.2731482274830341E-4</v>
      </c>
    </row>
    <row r="109" spans="1:24" x14ac:dyDescent="0.3">
      <c r="A109" s="2">
        <v>109</v>
      </c>
      <c r="B109" t="s">
        <v>189</v>
      </c>
      <c r="C109" t="s">
        <v>24</v>
      </c>
      <c r="D109" t="s">
        <v>56</v>
      </c>
      <c r="E109" t="s">
        <v>26</v>
      </c>
      <c r="F109" t="s">
        <v>48</v>
      </c>
      <c r="G109" s="11">
        <v>8.4</v>
      </c>
      <c r="H109" s="11">
        <v>0.4</v>
      </c>
      <c r="I109" s="11">
        <v>1.9</v>
      </c>
      <c r="J109" s="11">
        <v>27.7</v>
      </c>
      <c r="K109" s="11">
        <v>63.2</v>
      </c>
      <c r="L109" s="11">
        <v>36.9</v>
      </c>
      <c r="M109" s="7">
        <v>11.68</v>
      </c>
      <c r="N109" s="4">
        <v>25</v>
      </c>
      <c r="O109" s="11">
        <v>3.4</v>
      </c>
      <c r="P109" s="11">
        <v>8.8000000000000007</v>
      </c>
      <c r="Q109" s="11">
        <v>14.9</v>
      </c>
      <c r="R109" s="11">
        <v>3.9</v>
      </c>
      <c r="S109" s="11">
        <v>16.899999999999999</v>
      </c>
      <c r="T109" s="11">
        <v>2</v>
      </c>
      <c r="U109" s="11">
        <v>2.9</v>
      </c>
      <c r="V109" s="5">
        <v>45972.595347222225</v>
      </c>
      <c r="W109" s="5">
        <v>45972.595659722225</v>
      </c>
      <c r="X109" s="6">
        <v>3.1249999301508069E-4</v>
      </c>
    </row>
    <row r="110" spans="1:24" x14ac:dyDescent="0.3">
      <c r="A110" s="2">
        <v>110</v>
      </c>
      <c r="B110" t="s">
        <v>190</v>
      </c>
      <c r="C110" t="s">
        <v>24</v>
      </c>
      <c r="D110" t="s">
        <v>58</v>
      </c>
      <c r="E110" t="s">
        <v>26</v>
      </c>
      <c r="F110" t="s">
        <v>48</v>
      </c>
      <c r="G110" s="11">
        <v>10.6</v>
      </c>
      <c r="H110" s="11">
        <v>43.8</v>
      </c>
      <c r="I110" s="11">
        <v>2.8</v>
      </c>
      <c r="J110" s="11">
        <v>13.5</v>
      </c>
      <c r="K110" s="3" t="s">
        <v>54</v>
      </c>
      <c r="L110" s="11">
        <v>11.6</v>
      </c>
      <c r="M110" s="7">
        <v>11.38</v>
      </c>
      <c r="N110" s="4">
        <v>25</v>
      </c>
      <c r="O110" s="11">
        <v>24.3</v>
      </c>
      <c r="P110" s="3" t="s">
        <v>59</v>
      </c>
      <c r="Q110" s="11">
        <v>16.899999999999999</v>
      </c>
      <c r="R110" s="11">
        <v>4.5999999999999996</v>
      </c>
      <c r="S110" s="11">
        <v>41.3</v>
      </c>
      <c r="T110" s="11">
        <v>42.1</v>
      </c>
      <c r="U110" s="11">
        <v>28</v>
      </c>
      <c r="V110" s="5">
        <v>45972.595833333333</v>
      </c>
      <c r="W110" s="5">
        <v>45972.595983796295</v>
      </c>
      <c r="X110" s="6">
        <v>1.6203703125938773E-4</v>
      </c>
    </row>
    <row r="111" spans="1:24" x14ac:dyDescent="0.3">
      <c r="A111" s="2">
        <v>111</v>
      </c>
      <c r="B111" t="s">
        <v>191</v>
      </c>
      <c r="C111" t="s">
        <v>24</v>
      </c>
      <c r="D111" t="s">
        <v>61</v>
      </c>
      <c r="E111" t="s">
        <v>26</v>
      </c>
      <c r="F111" t="s">
        <v>48</v>
      </c>
      <c r="G111" s="11">
        <v>7.5</v>
      </c>
      <c r="H111" s="11">
        <v>21.2</v>
      </c>
      <c r="I111" s="11">
        <v>1.4</v>
      </c>
      <c r="J111" s="11">
        <v>18</v>
      </c>
      <c r="K111" s="11">
        <v>10.4</v>
      </c>
      <c r="L111" s="11">
        <v>20.5</v>
      </c>
      <c r="M111" s="7">
        <v>9.9700000000000006</v>
      </c>
      <c r="N111" s="4">
        <v>25</v>
      </c>
      <c r="O111" s="11">
        <v>4.9000000000000004</v>
      </c>
      <c r="P111" s="3" t="s">
        <v>59</v>
      </c>
      <c r="Q111" s="11">
        <v>12.3</v>
      </c>
      <c r="R111" s="11">
        <v>5.6</v>
      </c>
      <c r="S111" s="11">
        <v>12</v>
      </c>
      <c r="T111" s="11">
        <v>13.8</v>
      </c>
      <c r="U111" s="11">
        <v>16.7</v>
      </c>
      <c r="V111" s="5">
        <v>45972.596099537041</v>
      </c>
      <c r="W111" s="5">
        <v>45972.596226851849</v>
      </c>
      <c r="X111" s="6">
        <v>1.1574075324460864E-4</v>
      </c>
    </row>
    <row r="112" spans="1:24" x14ac:dyDescent="0.3">
      <c r="A112" s="2">
        <v>112</v>
      </c>
      <c r="B112" t="s">
        <v>192</v>
      </c>
      <c r="C112" t="s">
        <v>24</v>
      </c>
      <c r="D112" t="s">
        <v>63</v>
      </c>
      <c r="E112" t="s">
        <v>26</v>
      </c>
      <c r="F112" t="s">
        <v>48</v>
      </c>
      <c r="G112" s="11">
        <v>10.8</v>
      </c>
      <c r="H112" s="11">
        <v>25.7</v>
      </c>
      <c r="I112" s="11">
        <v>3.6</v>
      </c>
      <c r="J112" s="11">
        <v>12.9</v>
      </c>
      <c r="K112" s="3" t="s">
        <v>54</v>
      </c>
      <c r="L112" s="11">
        <v>9.3000000000000007</v>
      </c>
      <c r="M112" s="7">
        <v>14.28</v>
      </c>
      <c r="N112" s="4">
        <v>25</v>
      </c>
      <c r="O112" s="11">
        <v>12.9</v>
      </c>
      <c r="P112" s="11">
        <v>42.2</v>
      </c>
      <c r="Q112" s="11">
        <v>23.7</v>
      </c>
      <c r="R112" s="11">
        <v>9.3000000000000007</v>
      </c>
      <c r="S112" s="11">
        <v>38.1</v>
      </c>
      <c r="T112" s="11">
        <v>40</v>
      </c>
      <c r="U112" s="11">
        <v>21.9</v>
      </c>
      <c r="V112" s="5">
        <v>45972.596354166664</v>
      </c>
      <c r="W112" s="5">
        <v>45972.59646990741</v>
      </c>
      <c r="X112" s="6">
        <v>1.1574075324460864E-4</v>
      </c>
    </row>
    <row r="113" spans="1:24" x14ac:dyDescent="0.3">
      <c r="A113" s="2">
        <v>113</v>
      </c>
      <c r="B113" t="s">
        <v>193</v>
      </c>
      <c r="C113" t="s">
        <v>24</v>
      </c>
      <c r="D113" t="s">
        <v>65</v>
      </c>
      <c r="E113" t="s">
        <v>26</v>
      </c>
      <c r="F113" t="s">
        <v>48</v>
      </c>
      <c r="G113" s="11">
        <v>11.1</v>
      </c>
      <c r="H113" s="11">
        <v>8.1999999999999993</v>
      </c>
      <c r="I113" s="11">
        <v>2.4</v>
      </c>
      <c r="J113" s="11">
        <v>26.2</v>
      </c>
      <c r="K113" s="11">
        <v>30.9</v>
      </c>
      <c r="L113" s="11">
        <v>31.5</v>
      </c>
      <c r="M113" s="7">
        <v>7.7</v>
      </c>
      <c r="N113" s="4">
        <v>25</v>
      </c>
      <c r="O113" s="11">
        <v>5.2</v>
      </c>
      <c r="P113" s="3" t="s">
        <v>59</v>
      </c>
      <c r="Q113" s="11">
        <v>17.8</v>
      </c>
      <c r="R113" s="11">
        <v>1.8</v>
      </c>
      <c r="S113" s="11">
        <v>6.6</v>
      </c>
      <c r="T113" s="11">
        <v>8.6999999999999993</v>
      </c>
      <c r="U113" s="11">
        <v>6.7</v>
      </c>
      <c r="V113" s="5">
        <v>45972.596597222226</v>
      </c>
      <c r="W113" s="5">
        <v>45972.596817129626</v>
      </c>
      <c r="X113" s="6">
        <v>2.0833333837799728E-4</v>
      </c>
    </row>
    <row r="114" spans="1:24" x14ac:dyDescent="0.3">
      <c r="A114" s="2">
        <v>114</v>
      </c>
      <c r="B114" t="s">
        <v>194</v>
      </c>
      <c r="C114" t="s">
        <v>24</v>
      </c>
      <c r="D114" t="s">
        <v>67</v>
      </c>
      <c r="E114" t="s">
        <v>26</v>
      </c>
      <c r="F114" t="s">
        <v>48</v>
      </c>
      <c r="G114" s="11">
        <v>9.8000000000000007</v>
      </c>
      <c r="H114" s="11">
        <v>13.9</v>
      </c>
      <c r="I114" s="11">
        <v>4.7</v>
      </c>
      <c r="J114" s="11">
        <v>14.8</v>
      </c>
      <c r="K114" s="3" t="s">
        <v>54</v>
      </c>
      <c r="L114" s="11">
        <v>22.5</v>
      </c>
      <c r="M114" s="7">
        <v>21.16</v>
      </c>
      <c r="N114" s="4">
        <v>25</v>
      </c>
      <c r="O114" s="11">
        <v>21.5</v>
      </c>
      <c r="P114" s="3" t="s">
        <v>59</v>
      </c>
      <c r="Q114" s="3" t="s">
        <v>68</v>
      </c>
      <c r="R114" s="11">
        <v>7.7</v>
      </c>
      <c r="S114" s="11">
        <v>27</v>
      </c>
      <c r="T114" s="11">
        <v>44.4</v>
      </c>
      <c r="U114" s="11">
        <v>39.700000000000003</v>
      </c>
      <c r="V114" s="5">
        <v>45972.596921296295</v>
      </c>
      <c r="W114" s="5">
        <v>45972.597037037034</v>
      </c>
      <c r="X114" s="6">
        <v>1.1574075324460864E-4</v>
      </c>
    </row>
    <row r="115" spans="1:24" x14ac:dyDescent="0.3">
      <c r="A115" s="2">
        <v>115</v>
      </c>
      <c r="B115" t="s">
        <v>195</v>
      </c>
      <c r="C115" t="s">
        <v>24</v>
      </c>
      <c r="D115" t="s">
        <v>70</v>
      </c>
      <c r="E115" t="s">
        <v>26</v>
      </c>
      <c r="F115" t="s">
        <v>48</v>
      </c>
      <c r="G115" s="11">
        <v>9.8000000000000007</v>
      </c>
      <c r="H115" s="11">
        <v>20.7</v>
      </c>
      <c r="I115" s="11">
        <v>2.7</v>
      </c>
      <c r="J115" s="11">
        <v>16.2</v>
      </c>
      <c r="K115" s="3" t="s">
        <v>54</v>
      </c>
      <c r="L115" s="11">
        <v>16</v>
      </c>
      <c r="M115" s="7">
        <v>12.53</v>
      </c>
      <c r="N115" s="4">
        <v>25</v>
      </c>
      <c r="O115" s="11">
        <v>5.5</v>
      </c>
      <c r="P115" s="11">
        <v>18</v>
      </c>
      <c r="Q115" s="11">
        <v>9.1999999999999993</v>
      </c>
      <c r="R115" s="11">
        <v>5.5</v>
      </c>
      <c r="S115" s="11">
        <v>14.4</v>
      </c>
      <c r="T115" s="11">
        <v>14.9</v>
      </c>
      <c r="U115" s="11">
        <v>10.199999999999999</v>
      </c>
      <c r="V115" s="5">
        <v>45972.597187500003</v>
      </c>
      <c r="W115" s="5">
        <v>45972.597303240742</v>
      </c>
      <c r="X115" s="6">
        <v>1.1574075324460864E-4</v>
      </c>
    </row>
    <row r="116" spans="1:24" x14ac:dyDescent="0.3">
      <c r="A116" s="2">
        <v>116</v>
      </c>
      <c r="B116" t="s">
        <v>196</v>
      </c>
      <c r="C116" t="s">
        <v>24</v>
      </c>
      <c r="D116" t="s">
        <v>72</v>
      </c>
      <c r="E116" t="s">
        <v>26</v>
      </c>
      <c r="F116" t="s">
        <v>48</v>
      </c>
      <c r="G116" s="11">
        <v>9.1</v>
      </c>
      <c r="H116" s="3" t="s">
        <v>59</v>
      </c>
      <c r="I116" s="11">
        <v>2.4</v>
      </c>
      <c r="J116" s="11">
        <v>16.100000000000001</v>
      </c>
      <c r="K116" s="3" t="s">
        <v>54</v>
      </c>
      <c r="L116" s="11">
        <v>12.1</v>
      </c>
      <c r="M116" s="7">
        <v>14.23</v>
      </c>
      <c r="N116" s="4">
        <v>25</v>
      </c>
      <c r="O116" s="11">
        <v>55.1</v>
      </c>
      <c r="P116" s="3" t="s">
        <v>59</v>
      </c>
      <c r="Q116" s="11">
        <v>24.3</v>
      </c>
      <c r="R116" s="11">
        <v>5.2</v>
      </c>
      <c r="S116" s="11">
        <v>75.2</v>
      </c>
      <c r="T116" s="11">
        <v>76.099999999999994</v>
      </c>
      <c r="U116" s="11">
        <v>54.4</v>
      </c>
      <c r="V116" s="5">
        <v>45972.597418981481</v>
      </c>
      <c r="W116" s="5">
        <v>45972.597534722219</v>
      </c>
      <c r="X116" s="6">
        <v>1.1574075324460864E-4</v>
      </c>
    </row>
    <row r="117" spans="1:24" x14ac:dyDescent="0.3">
      <c r="A117" s="2">
        <v>117</v>
      </c>
      <c r="B117" t="s">
        <v>197</v>
      </c>
      <c r="C117" t="s">
        <v>24</v>
      </c>
      <c r="D117" t="s">
        <v>74</v>
      </c>
      <c r="E117" t="s">
        <v>26</v>
      </c>
      <c r="F117" t="s">
        <v>48</v>
      </c>
      <c r="G117" s="11">
        <v>10.9</v>
      </c>
      <c r="H117" s="11">
        <v>22.1</v>
      </c>
      <c r="I117" s="11">
        <v>2.2999999999999998</v>
      </c>
      <c r="J117" s="11">
        <v>19.8</v>
      </c>
      <c r="K117" s="11">
        <v>14.4</v>
      </c>
      <c r="L117" s="11">
        <v>24.2</v>
      </c>
      <c r="M117" s="7">
        <v>10.93</v>
      </c>
      <c r="N117" s="4">
        <v>25</v>
      </c>
      <c r="O117" s="11">
        <v>7.1</v>
      </c>
      <c r="P117" s="11">
        <v>18.399999999999999</v>
      </c>
      <c r="Q117" s="11">
        <v>7.8</v>
      </c>
      <c r="R117" s="11">
        <v>2</v>
      </c>
      <c r="S117" s="11">
        <v>6.1</v>
      </c>
      <c r="T117" s="11">
        <v>8.5</v>
      </c>
      <c r="U117" s="11">
        <v>11.4</v>
      </c>
      <c r="V117" s="5">
        <v>45972.597673611112</v>
      </c>
      <c r="W117" s="5">
        <v>45972.597800925927</v>
      </c>
      <c r="X117" s="6">
        <v>1.1574075324460864E-4</v>
      </c>
    </row>
    <row r="118" spans="1:24" x14ac:dyDescent="0.3">
      <c r="A118" s="2">
        <v>118</v>
      </c>
      <c r="B118" t="s">
        <v>198</v>
      </c>
      <c r="C118" t="s">
        <v>24</v>
      </c>
      <c r="D118" t="s">
        <v>76</v>
      </c>
      <c r="E118" t="s">
        <v>26</v>
      </c>
      <c r="F118" t="s">
        <v>48</v>
      </c>
      <c r="G118" s="11">
        <v>7.1</v>
      </c>
      <c r="H118" s="11">
        <v>0.5</v>
      </c>
      <c r="I118" s="11">
        <v>1.2</v>
      </c>
      <c r="J118" s="11">
        <v>29.5</v>
      </c>
      <c r="K118" s="11">
        <v>64.3</v>
      </c>
      <c r="L118" s="11">
        <v>39</v>
      </c>
      <c r="M118" s="7">
        <v>11.71</v>
      </c>
      <c r="N118" s="4">
        <v>25</v>
      </c>
      <c r="O118" s="11">
        <v>1.5</v>
      </c>
      <c r="P118" s="11">
        <v>3.7</v>
      </c>
      <c r="Q118" s="11">
        <v>4.5</v>
      </c>
      <c r="R118" s="11">
        <v>1.4</v>
      </c>
      <c r="S118" s="11">
        <v>7.2</v>
      </c>
      <c r="T118" s="11">
        <v>1</v>
      </c>
      <c r="U118" s="11">
        <v>1.7</v>
      </c>
      <c r="V118" s="5">
        <v>45972.597893518519</v>
      </c>
      <c r="W118" s="5">
        <v>45972.598020833335</v>
      </c>
      <c r="X118" s="6">
        <v>1.1574075324460864E-4</v>
      </c>
    </row>
    <row r="119" spans="1:24" x14ac:dyDescent="0.3">
      <c r="A119" s="2">
        <v>119</v>
      </c>
      <c r="B119" t="s">
        <v>199</v>
      </c>
      <c r="C119" t="s">
        <v>24</v>
      </c>
      <c r="D119" t="s">
        <v>78</v>
      </c>
      <c r="E119" t="s">
        <v>26</v>
      </c>
      <c r="F119" t="s">
        <v>48</v>
      </c>
      <c r="G119" s="11">
        <v>10.8</v>
      </c>
      <c r="H119" s="11">
        <v>16.8</v>
      </c>
      <c r="I119" s="11">
        <v>2.4</v>
      </c>
      <c r="J119" s="11">
        <v>17.8</v>
      </c>
      <c r="K119" s="11">
        <v>17.3</v>
      </c>
      <c r="L119" s="11">
        <v>22.4</v>
      </c>
      <c r="M119" s="7">
        <v>11.9</v>
      </c>
      <c r="N119" s="4">
        <v>25</v>
      </c>
      <c r="O119" s="11">
        <v>7.2</v>
      </c>
      <c r="P119" s="11">
        <v>16.899999999999999</v>
      </c>
      <c r="Q119" s="11">
        <v>8</v>
      </c>
      <c r="R119" s="11">
        <v>4.9000000000000004</v>
      </c>
      <c r="S119" s="11">
        <v>6.7</v>
      </c>
      <c r="T119" s="11">
        <v>8.6</v>
      </c>
      <c r="U119" s="11">
        <v>12.3</v>
      </c>
      <c r="V119" s="5">
        <v>45972.598124999997</v>
      </c>
      <c r="W119" s="5">
        <v>45972.598240740743</v>
      </c>
      <c r="X119" s="6">
        <v>1.1574075324460864E-4</v>
      </c>
    </row>
    <row r="120" spans="1:24" x14ac:dyDescent="0.3">
      <c r="A120" s="2">
        <v>120</v>
      </c>
      <c r="B120" t="s">
        <v>200</v>
      </c>
      <c r="C120" t="s">
        <v>24</v>
      </c>
      <c r="D120" t="s">
        <v>80</v>
      </c>
      <c r="E120" t="s">
        <v>26</v>
      </c>
      <c r="F120" t="s">
        <v>48</v>
      </c>
      <c r="G120" s="11">
        <v>9.5</v>
      </c>
      <c r="H120" s="11">
        <v>7.4</v>
      </c>
      <c r="I120" s="11">
        <v>1.7</v>
      </c>
      <c r="J120" s="11">
        <v>28.6</v>
      </c>
      <c r="K120" s="11">
        <v>40.1</v>
      </c>
      <c r="L120" s="11">
        <v>36.799999999999997</v>
      </c>
      <c r="M120" s="7">
        <v>9.91</v>
      </c>
      <c r="N120" s="4">
        <v>25</v>
      </c>
      <c r="O120" s="11">
        <v>2.1</v>
      </c>
      <c r="P120" s="11">
        <v>9.6</v>
      </c>
      <c r="Q120" s="11">
        <v>7.7</v>
      </c>
      <c r="R120" s="11">
        <v>0.3</v>
      </c>
      <c r="S120" s="11">
        <v>6</v>
      </c>
      <c r="T120" s="11">
        <v>5.6</v>
      </c>
      <c r="U120" s="11">
        <v>2.9</v>
      </c>
      <c r="V120" s="5">
        <v>45972.598379629628</v>
      </c>
      <c r="W120" s="5">
        <v>45972.598495370374</v>
      </c>
      <c r="X120" s="6">
        <v>1.1574075324460864E-4</v>
      </c>
    </row>
    <row r="121" spans="1:24" x14ac:dyDescent="0.3">
      <c r="A121" s="2">
        <v>121</v>
      </c>
      <c r="B121" t="s">
        <v>201</v>
      </c>
      <c r="C121" t="s">
        <v>24</v>
      </c>
      <c r="D121" t="s">
        <v>82</v>
      </c>
      <c r="E121" t="s">
        <v>26</v>
      </c>
      <c r="F121" t="s">
        <v>48</v>
      </c>
      <c r="G121" s="11">
        <v>12.3</v>
      </c>
      <c r="H121" s="11">
        <v>26.5</v>
      </c>
      <c r="I121" s="11">
        <v>1.9</v>
      </c>
      <c r="J121" s="11">
        <v>16</v>
      </c>
      <c r="K121" s="11">
        <v>13.8</v>
      </c>
      <c r="L121" s="11">
        <v>21.5</v>
      </c>
      <c r="M121" s="7">
        <v>10.72</v>
      </c>
      <c r="N121" s="4">
        <v>25</v>
      </c>
      <c r="O121" s="11">
        <v>13.3</v>
      </c>
      <c r="P121" s="11">
        <v>14</v>
      </c>
      <c r="Q121" s="11">
        <v>7.4</v>
      </c>
      <c r="R121" s="11">
        <v>4.7</v>
      </c>
      <c r="S121" s="11">
        <v>7</v>
      </c>
      <c r="T121" s="11">
        <v>9.1</v>
      </c>
      <c r="U121" s="11">
        <v>15.3</v>
      </c>
      <c r="V121" s="5">
        <v>45972.598599537036</v>
      </c>
      <c r="W121" s="5">
        <v>45972.598715277774</v>
      </c>
      <c r="X121" s="6">
        <v>1.1574075324460864E-4</v>
      </c>
    </row>
    <row r="122" spans="1:24" x14ac:dyDescent="0.3">
      <c r="A122" s="2">
        <v>122</v>
      </c>
      <c r="B122" t="s">
        <v>202</v>
      </c>
      <c r="C122" t="s">
        <v>24</v>
      </c>
      <c r="D122" t="s">
        <v>84</v>
      </c>
      <c r="E122" t="s">
        <v>26</v>
      </c>
      <c r="F122" t="s">
        <v>48</v>
      </c>
      <c r="G122" s="11">
        <v>9.9</v>
      </c>
      <c r="H122" s="11">
        <v>8.6</v>
      </c>
      <c r="I122" s="11">
        <v>2.5</v>
      </c>
      <c r="J122" s="11">
        <v>24.5</v>
      </c>
      <c r="K122" s="11">
        <v>20.9</v>
      </c>
      <c r="L122" s="11">
        <v>26.4</v>
      </c>
      <c r="M122" s="7">
        <v>9.16</v>
      </c>
      <c r="N122" s="4">
        <v>25</v>
      </c>
      <c r="O122" s="11">
        <v>4.0999999999999996</v>
      </c>
      <c r="P122" s="11">
        <v>48.1</v>
      </c>
      <c r="Q122" s="11">
        <v>15.7</v>
      </c>
      <c r="R122" s="11">
        <v>3</v>
      </c>
      <c r="S122" s="11">
        <v>5</v>
      </c>
      <c r="T122" s="11">
        <v>6.9</v>
      </c>
      <c r="U122" s="11">
        <v>5.3</v>
      </c>
      <c r="V122" s="5">
        <v>45972.598819444444</v>
      </c>
      <c r="W122" s="5">
        <v>45972.598935185182</v>
      </c>
      <c r="X122" s="6">
        <v>1.1574075324460864E-4</v>
      </c>
    </row>
    <row r="123" spans="1:24" x14ac:dyDescent="0.3">
      <c r="A123" s="2">
        <v>123</v>
      </c>
      <c r="B123" t="s">
        <v>203</v>
      </c>
      <c r="C123" t="s">
        <v>24</v>
      </c>
      <c r="D123" t="s">
        <v>86</v>
      </c>
      <c r="E123" t="s">
        <v>26</v>
      </c>
      <c r="F123" t="s">
        <v>48</v>
      </c>
      <c r="G123" s="11">
        <v>11.2</v>
      </c>
      <c r="H123" s="11">
        <v>21</v>
      </c>
      <c r="I123" s="11">
        <v>2</v>
      </c>
      <c r="J123" s="11">
        <v>24.8</v>
      </c>
      <c r="K123" s="11">
        <v>6</v>
      </c>
      <c r="L123" s="11">
        <v>27.6</v>
      </c>
      <c r="M123" s="7">
        <v>11.15</v>
      </c>
      <c r="N123" s="4">
        <v>25</v>
      </c>
      <c r="O123" s="11">
        <v>12.3</v>
      </c>
      <c r="P123" s="11">
        <v>33.5</v>
      </c>
      <c r="Q123" s="11">
        <v>27.4</v>
      </c>
      <c r="R123" s="11">
        <v>3.5</v>
      </c>
      <c r="S123" s="11">
        <v>20.7</v>
      </c>
      <c r="T123" s="11">
        <v>21.1</v>
      </c>
      <c r="U123" s="11">
        <v>10.199999999999999</v>
      </c>
      <c r="V123" s="5">
        <v>45972.599027777775</v>
      </c>
      <c r="W123" s="5">
        <v>45972.59915509259</v>
      </c>
      <c r="X123" s="6">
        <v>1.1574075324460864E-4</v>
      </c>
    </row>
    <row r="124" spans="1:24" x14ac:dyDescent="0.3">
      <c r="A124" s="2">
        <v>124</v>
      </c>
      <c r="B124" t="s">
        <v>204</v>
      </c>
      <c r="C124" t="s">
        <v>24</v>
      </c>
      <c r="D124" t="s">
        <v>88</v>
      </c>
      <c r="E124" t="s">
        <v>26</v>
      </c>
      <c r="F124" t="s">
        <v>48</v>
      </c>
      <c r="G124" s="11">
        <v>9.4</v>
      </c>
      <c r="H124" s="11">
        <v>22.6</v>
      </c>
      <c r="I124" s="11">
        <v>4.3</v>
      </c>
      <c r="J124" s="11">
        <v>17.100000000000001</v>
      </c>
      <c r="K124" s="3" t="s">
        <v>54</v>
      </c>
      <c r="L124" s="11">
        <v>18.899999999999999</v>
      </c>
      <c r="M124" s="7">
        <v>12.36</v>
      </c>
      <c r="N124" s="4">
        <v>25</v>
      </c>
      <c r="O124" s="11">
        <v>6</v>
      </c>
      <c r="P124" s="11">
        <v>49.8</v>
      </c>
      <c r="Q124" s="11">
        <v>36.6</v>
      </c>
      <c r="R124" s="11">
        <v>2.4</v>
      </c>
      <c r="S124" s="11">
        <v>24.8</v>
      </c>
      <c r="T124" s="11">
        <v>30.4</v>
      </c>
      <c r="U124" s="11">
        <v>11.3</v>
      </c>
      <c r="V124" s="5">
        <v>45972.599270833336</v>
      </c>
      <c r="W124" s="5">
        <v>45972.599386574075</v>
      </c>
      <c r="X124" s="6">
        <v>1.1574075324460864E-4</v>
      </c>
    </row>
    <row r="125" spans="1:24" x14ac:dyDescent="0.3">
      <c r="A125" s="2">
        <v>125</v>
      </c>
      <c r="B125" t="s">
        <v>205</v>
      </c>
      <c r="C125" t="s">
        <v>24</v>
      </c>
      <c r="D125" t="s">
        <v>90</v>
      </c>
      <c r="E125" t="s">
        <v>26</v>
      </c>
      <c r="F125" t="s">
        <v>48</v>
      </c>
      <c r="G125" s="11">
        <v>11.8</v>
      </c>
      <c r="H125" s="11">
        <v>19.100000000000001</v>
      </c>
      <c r="I125" s="11">
        <v>1.9</v>
      </c>
      <c r="J125" s="11">
        <v>21.7</v>
      </c>
      <c r="K125" s="11">
        <v>3.6</v>
      </c>
      <c r="L125" s="11">
        <v>23.7</v>
      </c>
      <c r="M125" s="7">
        <v>11.59</v>
      </c>
      <c r="N125" s="4">
        <v>25</v>
      </c>
      <c r="O125" s="11">
        <v>8.1999999999999993</v>
      </c>
      <c r="P125" s="11">
        <v>20.8</v>
      </c>
      <c r="Q125" s="11">
        <v>9.9</v>
      </c>
      <c r="R125" s="11">
        <v>2</v>
      </c>
      <c r="S125" s="11">
        <v>10.8</v>
      </c>
      <c r="T125" s="11">
        <v>16.3</v>
      </c>
      <c r="U125" s="11">
        <v>10.6</v>
      </c>
      <c r="V125" s="5">
        <v>45972.599502314813</v>
      </c>
      <c r="W125" s="5">
        <v>45972.599629629629</v>
      </c>
      <c r="X125" s="6">
        <v>1.1574075324460864E-4</v>
      </c>
    </row>
    <row r="126" spans="1:24" x14ac:dyDescent="0.3">
      <c r="A126" s="2">
        <v>126</v>
      </c>
      <c r="B126" t="s">
        <v>206</v>
      </c>
      <c r="C126" t="s">
        <v>24</v>
      </c>
      <c r="D126" t="s">
        <v>92</v>
      </c>
      <c r="E126" t="s">
        <v>26</v>
      </c>
      <c r="F126" t="s">
        <v>48</v>
      </c>
      <c r="G126" s="11">
        <v>8.6</v>
      </c>
      <c r="H126" s="11">
        <v>15.2</v>
      </c>
      <c r="I126" s="11">
        <v>2.1</v>
      </c>
      <c r="J126" s="11">
        <v>26.5</v>
      </c>
      <c r="K126" s="11">
        <v>29.1</v>
      </c>
      <c r="L126" s="11">
        <v>33.200000000000003</v>
      </c>
      <c r="M126" s="7">
        <v>10.74</v>
      </c>
      <c r="N126" s="4">
        <v>25</v>
      </c>
      <c r="O126" s="11">
        <v>1.7</v>
      </c>
      <c r="P126" s="11">
        <v>13</v>
      </c>
      <c r="Q126" s="11">
        <v>10.5</v>
      </c>
      <c r="R126" s="11">
        <v>0.7</v>
      </c>
      <c r="S126" s="11">
        <v>7.6</v>
      </c>
      <c r="T126" s="11">
        <v>5.8</v>
      </c>
      <c r="U126" s="11">
        <v>2</v>
      </c>
      <c r="V126" s="5">
        <v>45972.599756944444</v>
      </c>
      <c r="W126" s="5">
        <v>45972.599872685183</v>
      </c>
      <c r="X126" s="6">
        <v>1.1574075324460864E-4</v>
      </c>
    </row>
    <row r="127" spans="1:24" x14ac:dyDescent="0.3">
      <c r="A127" s="2">
        <v>127</v>
      </c>
      <c r="B127" t="s">
        <v>207</v>
      </c>
      <c r="C127" t="s">
        <v>24</v>
      </c>
      <c r="D127" t="s">
        <v>94</v>
      </c>
      <c r="E127" t="s">
        <v>26</v>
      </c>
      <c r="F127" t="s">
        <v>48</v>
      </c>
      <c r="G127" s="11">
        <v>11.8</v>
      </c>
      <c r="H127" s="11">
        <v>16</v>
      </c>
      <c r="I127" s="11">
        <v>1.9</v>
      </c>
      <c r="J127" s="11">
        <v>22.6</v>
      </c>
      <c r="K127" s="11">
        <v>11.4</v>
      </c>
      <c r="L127" s="11">
        <v>24.2</v>
      </c>
      <c r="M127" s="7">
        <v>10.119999999999999</v>
      </c>
      <c r="N127" s="4">
        <v>25</v>
      </c>
      <c r="O127" s="11">
        <v>5.9</v>
      </c>
      <c r="P127" s="11">
        <v>24.7</v>
      </c>
      <c r="Q127" s="11">
        <v>15.9</v>
      </c>
      <c r="R127" s="11">
        <v>2.6</v>
      </c>
      <c r="S127" s="11">
        <v>11.4</v>
      </c>
      <c r="T127" s="11">
        <v>13.1</v>
      </c>
      <c r="U127" s="11">
        <v>5.9</v>
      </c>
      <c r="V127" s="5">
        <v>45972.6</v>
      </c>
      <c r="W127" s="5">
        <v>45972.600162037037</v>
      </c>
      <c r="X127" s="6">
        <v>1.5046296175569296E-4</v>
      </c>
    </row>
    <row r="128" spans="1:24" x14ac:dyDescent="0.3">
      <c r="A128" s="2">
        <v>128</v>
      </c>
      <c r="B128" t="s">
        <v>208</v>
      </c>
      <c r="C128" t="s">
        <v>24</v>
      </c>
      <c r="D128" t="s">
        <v>96</v>
      </c>
      <c r="E128" t="s">
        <v>26</v>
      </c>
      <c r="F128" t="s">
        <v>48</v>
      </c>
      <c r="G128" s="11">
        <v>12.6</v>
      </c>
      <c r="H128" s="11">
        <v>20</v>
      </c>
      <c r="I128" s="11">
        <v>1.6</v>
      </c>
      <c r="J128" s="11">
        <v>23.4</v>
      </c>
      <c r="K128" s="11">
        <v>8.6999999999999993</v>
      </c>
      <c r="L128" s="11">
        <v>24.9</v>
      </c>
      <c r="M128" s="7">
        <v>10.28</v>
      </c>
      <c r="N128" s="4">
        <v>25</v>
      </c>
      <c r="O128" s="11">
        <v>9.5</v>
      </c>
      <c r="P128" s="11">
        <v>30.1</v>
      </c>
      <c r="Q128" s="11">
        <v>18.2</v>
      </c>
      <c r="R128" s="11">
        <v>3.1</v>
      </c>
      <c r="S128" s="11">
        <v>15.5</v>
      </c>
      <c r="T128" s="11">
        <v>17.8</v>
      </c>
      <c r="U128" s="11">
        <v>9</v>
      </c>
      <c r="V128" s="5">
        <v>45972.600254629629</v>
      </c>
      <c r="W128" s="5">
        <v>45972.600370370368</v>
      </c>
      <c r="X128" s="6">
        <v>1.1574075324460864E-4</v>
      </c>
    </row>
    <row r="129" spans="1:24" x14ac:dyDescent="0.3">
      <c r="A129" s="2">
        <v>129</v>
      </c>
      <c r="B129" t="s">
        <v>209</v>
      </c>
      <c r="C129" t="s">
        <v>24</v>
      </c>
      <c r="D129" t="s">
        <v>98</v>
      </c>
      <c r="E129" t="s">
        <v>26</v>
      </c>
      <c r="F129" t="s">
        <v>48</v>
      </c>
      <c r="G129" s="11">
        <v>8.9</v>
      </c>
      <c r="H129" s="11">
        <v>12.1</v>
      </c>
      <c r="I129" s="11">
        <v>2</v>
      </c>
      <c r="J129" s="11">
        <v>25.7</v>
      </c>
      <c r="K129" s="11">
        <v>43.7</v>
      </c>
      <c r="L129" s="11">
        <v>36.9</v>
      </c>
      <c r="M129" s="7">
        <v>11.8</v>
      </c>
      <c r="N129" s="4">
        <v>25</v>
      </c>
      <c r="O129" s="11">
        <v>2.8</v>
      </c>
      <c r="P129" s="11">
        <v>17.399999999999999</v>
      </c>
      <c r="Q129" s="11">
        <v>9.4</v>
      </c>
      <c r="R129" s="11">
        <v>0.5</v>
      </c>
      <c r="S129" s="11">
        <v>6.6</v>
      </c>
      <c r="T129" s="11">
        <v>5.8</v>
      </c>
      <c r="U129" s="11">
        <v>5.0999999999999996</v>
      </c>
      <c r="V129" s="5">
        <v>45972.600486111114</v>
      </c>
      <c r="W129" s="5">
        <v>45972.600601851853</v>
      </c>
      <c r="X129" s="6">
        <v>1.2731482274830341E-4</v>
      </c>
    </row>
    <row r="130" spans="1:24" x14ac:dyDescent="0.3">
      <c r="A130" s="2">
        <v>130</v>
      </c>
      <c r="B130" t="s">
        <v>210</v>
      </c>
      <c r="C130" t="s">
        <v>24</v>
      </c>
      <c r="D130" t="s">
        <v>100</v>
      </c>
      <c r="E130" t="s">
        <v>26</v>
      </c>
      <c r="F130" t="s">
        <v>48</v>
      </c>
      <c r="G130" s="11">
        <v>9.4</v>
      </c>
      <c r="H130" s="11">
        <v>11.9</v>
      </c>
      <c r="I130" s="11">
        <v>2.1</v>
      </c>
      <c r="J130" s="11">
        <v>27.7</v>
      </c>
      <c r="K130" s="11">
        <v>31.6</v>
      </c>
      <c r="L130" s="11">
        <v>36</v>
      </c>
      <c r="M130" s="7">
        <v>9.6</v>
      </c>
      <c r="N130" s="4">
        <v>25</v>
      </c>
      <c r="O130" s="11">
        <v>3</v>
      </c>
      <c r="P130" s="11">
        <v>18.5</v>
      </c>
      <c r="Q130" s="11">
        <v>12.8</v>
      </c>
      <c r="R130" s="11">
        <v>0.6</v>
      </c>
      <c r="S130" s="11">
        <v>9.3000000000000007</v>
      </c>
      <c r="T130" s="11">
        <v>8.6999999999999993</v>
      </c>
      <c r="U130" s="11">
        <v>3.7</v>
      </c>
      <c r="V130" s="5">
        <v>45972.600729166668</v>
      </c>
      <c r="W130" s="5">
        <v>45972.600856481484</v>
      </c>
      <c r="X130" s="6">
        <v>1.1574075324460864E-4</v>
      </c>
    </row>
    <row r="131" spans="1:24" x14ac:dyDescent="0.3">
      <c r="A131" s="2">
        <v>131</v>
      </c>
      <c r="B131" t="s">
        <v>211</v>
      </c>
      <c r="C131" t="s">
        <v>24</v>
      </c>
      <c r="D131" t="s">
        <v>102</v>
      </c>
      <c r="E131" t="s">
        <v>26</v>
      </c>
      <c r="F131" t="s">
        <v>48</v>
      </c>
      <c r="G131" s="11">
        <v>12.6</v>
      </c>
      <c r="H131" s="11">
        <v>25.4</v>
      </c>
      <c r="I131" s="11">
        <v>2</v>
      </c>
      <c r="J131" s="11">
        <v>16</v>
      </c>
      <c r="K131" s="11">
        <v>16</v>
      </c>
      <c r="L131" s="11">
        <v>22.4</v>
      </c>
      <c r="M131" s="7">
        <v>10.53</v>
      </c>
      <c r="N131" s="4">
        <v>25</v>
      </c>
      <c r="O131" s="11">
        <v>14.8</v>
      </c>
      <c r="P131" s="11">
        <v>14.2</v>
      </c>
      <c r="Q131" s="11">
        <v>8.5</v>
      </c>
      <c r="R131" s="11">
        <v>5.0999999999999996</v>
      </c>
      <c r="S131" s="11">
        <v>8</v>
      </c>
      <c r="T131" s="11">
        <v>10.5</v>
      </c>
      <c r="U131" s="11">
        <v>16.600000000000001</v>
      </c>
      <c r="V131" s="5">
        <v>45972.600949074076</v>
      </c>
      <c r="W131" s="5">
        <v>45972.601064814815</v>
      </c>
      <c r="X131" s="6">
        <v>1.1574075324460864E-4</v>
      </c>
    </row>
    <row r="132" spans="1:24" x14ac:dyDescent="0.3">
      <c r="A132" s="2">
        <v>132</v>
      </c>
      <c r="B132" t="s">
        <v>212</v>
      </c>
      <c r="C132" t="s">
        <v>24</v>
      </c>
      <c r="D132" t="s">
        <v>104</v>
      </c>
      <c r="E132" t="s">
        <v>26</v>
      </c>
      <c r="F132" t="s">
        <v>48</v>
      </c>
      <c r="G132" s="11">
        <v>11.4</v>
      </c>
      <c r="H132" s="11">
        <v>13.5</v>
      </c>
      <c r="I132" s="11">
        <v>2.2000000000000002</v>
      </c>
      <c r="J132" s="11">
        <v>18.100000000000001</v>
      </c>
      <c r="K132" s="11">
        <v>15.4</v>
      </c>
      <c r="L132" s="11">
        <v>22.2</v>
      </c>
      <c r="M132" s="7">
        <v>9.66</v>
      </c>
      <c r="N132" s="4">
        <v>25</v>
      </c>
      <c r="O132" s="11">
        <v>5.9</v>
      </c>
      <c r="P132" s="11">
        <v>16.399999999999999</v>
      </c>
      <c r="Q132" s="11">
        <v>6.6</v>
      </c>
      <c r="R132" s="11">
        <v>5.2</v>
      </c>
      <c r="S132" s="11">
        <v>7.3</v>
      </c>
      <c r="T132" s="11">
        <v>8.1999999999999993</v>
      </c>
      <c r="U132" s="11">
        <v>8.3000000000000007</v>
      </c>
      <c r="V132" s="5">
        <v>45972.601157407407</v>
      </c>
      <c r="W132" s="5">
        <v>45972.601284722223</v>
      </c>
      <c r="X132" s="6">
        <v>1.2731482274830341E-4</v>
      </c>
    </row>
    <row r="133" spans="1:24" x14ac:dyDescent="0.3">
      <c r="A133" s="2">
        <v>133</v>
      </c>
      <c r="B133" t="s">
        <v>213</v>
      </c>
      <c r="C133" t="s">
        <v>24</v>
      </c>
      <c r="D133" t="s">
        <v>106</v>
      </c>
      <c r="E133" t="s">
        <v>26</v>
      </c>
      <c r="F133" t="s">
        <v>48</v>
      </c>
      <c r="G133" s="11">
        <v>12.2</v>
      </c>
      <c r="H133" s="11">
        <v>16</v>
      </c>
      <c r="I133" s="11">
        <v>2.2999999999999998</v>
      </c>
      <c r="J133" s="11">
        <v>17.7</v>
      </c>
      <c r="K133" s="11">
        <v>18.899999999999999</v>
      </c>
      <c r="L133" s="11">
        <v>23.9</v>
      </c>
      <c r="M133" s="7">
        <v>9.83</v>
      </c>
      <c r="N133" s="4">
        <v>25</v>
      </c>
      <c r="O133" s="11">
        <v>11.6</v>
      </c>
      <c r="P133" s="11">
        <v>21.3</v>
      </c>
      <c r="Q133" s="11">
        <v>9.8000000000000007</v>
      </c>
      <c r="R133" s="11">
        <v>4.7</v>
      </c>
      <c r="S133" s="11">
        <v>9.1999999999999993</v>
      </c>
      <c r="T133" s="11">
        <v>12.7</v>
      </c>
      <c r="U133" s="11">
        <v>16.3</v>
      </c>
      <c r="V133" s="5">
        <v>45972.601388888892</v>
      </c>
      <c r="W133" s="5">
        <v>45972.601504629631</v>
      </c>
      <c r="X133" s="6">
        <v>1.1574075324460864E-4</v>
      </c>
    </row>
    <row r="134" spans="1:24" x14ac:dyDescent="0.3">
      <c r="A134" s="2">
        <v>134</v>
      </c>
      <c r="B134" t="s">
        <v>214</v>
      </c>
      <c r="C134" t="s">
        <v>24</v>
      </c>
      <c r="D134" t="s">
        <v>108</v>
      </c>
      <c r="E134" t="s">
        <v>26</v>
      </c>
      <c r="F134" t="s">
        <v>48</v>
      </c>
      <c r="G134" s="11">
        <v>9.1999999999999993</v>
      </c>
      <c r="H134" s="11">
        <v>5.7</v>
      </c>
      <c r="I134" s="11">
        <v>2.2000000000000002</v>
      </c>
      <c r="J134" s="11">
        <v>27.3</v>
      </c>
      <c r="K134" s="11">
        <v>38.1</v>
      </c>
      <c r="L134" s="11">
        <v>36.299999999999997</v>
      </c>
      <c r="M134" s="7">
        <v>9.2799999999999994</v>
      </c>
      <c r="N134" s="4">
        <v>25</v>
      </c>
      <c r="O134" s="11">
        <v>2.7</v>
      </c>
      <c r="P134" s="11">
        <v>8.4</v>
      </c>
      <c r="Q134" s="11">
        <v>13.9</v>
      </c>
      <c r="R134" s="11">
        <v>0.3</v>
      </c>
      <c r="S134" s="11">
        <v>8.3000000000000007</v>
      </c>
      <c r="T134" s="11">
        <v>5.9</v>
      </c>
      <c r="U134" s="11">
        <v>2.1</v>
      </c>
      <c r="V134" s="5">
        <v>45972.6016087963</v>
      </c>
      <c r="W134" s="5">
        <v>45972.601724537039</v>
      </c>
      <c r="X134" s="6">
        <v>1.2731482274830341E-4</v>
      </c>
    </row>
    <row r="135" spans="1:24" x14ac:dyDescent="0.3">
      <c r="A135" s="2">
        <v>135</v>
      </c>
      <c r="B135" t="s">
        <v>215</v>
      </c>
      <c r="C135" t="s">
        <v>24</v>
      </c>
      <c r="D135" t="s">
        <v>56</v>
      </c>
      <c r="E135" t="s">
        <v>26</v>
      </c>
      <c r="F135" t="s">
        <v>48</v>
      </c>
      <c r="G135" s="11">
        <v>7.8</v>
      </c>
      <c r="H135" s="11">
        <v>1.3</v>
      </c>
      <c r="I135" s="11">
        <v>0.6</v>
      </c>
      <c r="J135" s="11">
        <v>28.4</v>
      </c>
      <c r="K135" s="11">
        <v>69.3</v>
      </c>
      <c r="L135" s="11">
        <v>35.1</v>
      </c>
      <c r="M135" s="7">
        <v>9.64</v>
      </c>
      <c r="N135" s="4">
        <v>25</v>
      </c>
      <c r="O135" s="11">
        <v>3.3</v>
      </c>
      <c r="P135" s="11">
        <v>5.0999999999999996</v>
      </c>
      <c r="Q135" s="11">
        <v>3.9</v>
      </c>
      <c r="R135" s="11">
        <v>4.4000000000000004</v>
      </c>
      <c r="S135" s="11">
        <v>9.1999999999999993</v>
      </c>
      <c r="T135" s="11">
        <v>4.2</v>
      </c>
      <c r="U135" s="11">
        <v>2.9</v>
      </c>
      <c r="V135" s="5">
        <v>45972.67460648148</v>
      </c>
      <c r="W135" s="5">
        <v>45972.674884259257</v>
      </c>
      <c r="X135" s="6">
        <v>2.7777778450399637E-4</v>
      </c>
    </row>
    <row r="136" spans="1:24" x14ac:dyDescent="0.3">
      <c r="A136" s="2">
        <v>136</v>
      </c>
      <c r="B136" t="s">
        <v>216</v>
      </c>
      <c r="C136" t="s">
        <v>24</v>
      </c>
      <c r="D136" t="s">
        <v>58</v>
      </c>
      <c r="E136" t="s">
        <v>26</v>
      </c>
      <c r="F136" t="s">
        <v>48</v>
      </c>
      <c r="G136" s="11">
        <v>10.3</v>
      </c>
      <c r="H136" s="11">
        <v>44.8</v>
      </c>
      <c r="I136" s="11">
        <v>2.4</v>
      </c>
      <c r="J136" s="11">
        <v>13.5</v>
      </c>
      <c r="K136" s="3" t="s">
        <v>54</v>
      </c>
      <c r="L136" s="11">
        <v>10.4</v>
      </c>
      <c r="M136" s="7">
        <v>11.07</v>
      </c>
      <c r="N136" s="4">
        <v>25</v>
      </c>
      <c r="O136" s="11">
        <v>25.9</v>
      </c>
      <c r="P136" s="3" t="s">
        <v>59</v>
      </c>
      <c r="Q136" s="11">
        <v>14</v>
      </c>
      <c r="R136" s="11">
        <v>4.8</v>
      </c>
      <c r="S136" s="11">
        <v>47.5</v>
      </c>
      <c r="T136" s="11">
        <v>39.6</v>
      </c>
      <c r="U136" s="11">
        <v>30.3</v>
      </c>
      <c r="V136" s="5">
        <v>45972.675011574072</v>
      </c>
      <c r="W136" s="5">
        <v>45972.675208333334</v>
      </c>
      <c r="X136" s="6">
        <v>1.9675926887430251E-4</v>
      </c>
    </row>
    <row r="137" spans="1:24" x14ac:dyDescent="0.3">
      <c r="A137" s="2">
        <v>137</v>
      </c>
      <c r="B137" t="s">
        <v>217</v>
      </c>
      <c r="C137" t="s">
        <v>24</v>
      </c>
      <c r="D137" t="s">
        <v>61</v>
      </c>
      <c r="E137" t="s">
        <v>26</v>
      </c>
      <c r="F137" t="s">
        <v>48</v>
      </c>
      <c r="G137" s="11">
        <v>7.2</v>
      </c>
      <c r="H137" s="11">
        <v>21.8</v>
      </c>
      <c r="I137" s="11">
        <v>1</v>
      </c>
      <c r="J137" s="11">
        <v>18.100000000000001</v>
      </c>
      <c r="K137" s="11">
        <v>13.4</v>
      </c>
      <c r="L137" s="11">
        <v>19.8</v>
      </c>
      <c r="M137" s="7">
        <v>9.68</v>
      </c>
      <c r="N137" s="4">
        <v>25</v>
      </c>
      <c r="O137" s="11">
        <v>5.5</v>
      </c>
      <c r="P137" s="3" t="s">
        <v>59</v>
      </c>
      <c r="Q137" s="11">
        <v>13</v>
      </c>
      <c r="R137" s="11">
        <v>5.6</v>
      </c>
      <c r="S137" s="11">
        <v>11.6</v>
      </c>
      <c r="T137" s="11">
        <v>13.2</v>
      </c>
      <c r="U137" s="11">
        <v>18.3</v>
      </c>
      <c r="V137" s="5">
        <v>45972.675347222219</v>
      </c>
      <c r="W137" s="5">
        <v>45972.675462962965</v>
      </c>
      <c r="X137" s="6">
        <v>1.2731482274830341E-4</v>
      </c>
    </row>
    <row r="138" spans="1:24" x14ac:dyDescent="0.3">
      <c r="A138" s="2">
        <v>138</v>
      </c>
      <c r="B138" t="s">
        <v>218</v>
      </c>
      <c r="C138" t="s">
        <v>24</v>
      </c>
      <c r="D138" t="s">
        <v>63</v>
      </c>
      <c r="E138" t="s">
        <v>26</v>
      </c>
      <c r="F138" t="s">
        <v>48</v>
      </c>
      <c r="G138" s="11">
        <v>10.6</v>
      </c>
      <c r="H138" s="11">
        <v>26.4</v>
      </c>
      <c r="I138" s="11">
        <v>3.3</v>
      </c>
      <c r="J138" s="11">
        <v>12.9</v>
      </c>
      <c r="K138" s="3" t="s">
        <v>54</v>
      </c>
      <c r="L138" s="11">
        <v>8.5</v>
      </c>
      <c r="M138" s="7">
        <v>14.16</v>
      </c>
      <c r="N138" s="4">
        <v>25</v>
      </c>
      <c r="O138" s="11">
        <v>13.3</v>
      </c>
      <c r="P138" s="11">
        <v>43.1</v>
      </c>
      <c r="Q138" s="11">
        <v>19.399999999999999</v>
      </c>
      <c r="R138" s="11">
        <v>9.4</v>
      </c>
      <c r="S138" s="11">
        <v>38.5</v>
      </c>
      <c r="T138" s="11">
        <v>37.200000000000003</v>
      </c>
      <c r="U138" s="11">
        <v>22.8</v>
      </c>
      <c r="V138" s="5">
        <v>45972.67559027778</v>
      </c>
      <c r="W138" s="5">
        <v>45972.675717592596</v>
      </c>
      <c r="X138" s="6">
        <v>1.1574075324460864E-4</v>
      </c>
    </row>
    <row r="139" spans="1:24" x14ac:dyDescent="0.3">
      <c r="A139" s="2">
        <v>139</v>
      </c>
      <c r="B139" t="s">
        <v>219</v>
      </c>
      <c r="C139" t="s">
        <v>24</v>
      </c>
      <c r="D139" t="s">
        <v>65</v>
      </c>
      <c r="E139" t="s">
        <v>26</v>
      </c>
      <c r="F139" t="s">
        <v>48</v>
      </c>
      <c r="G139" s="11">
        <v>10.5</v>
      </c>
      <c r="H139" s="11">
        <v>9.5</v>
      </c>
      <c r="I139" s="11">
        <v>1.3</v>
      </c>
      <c r="J139" s="11">
        <v>26.2</v>
      </c>
      <c r="K139" s="11">
        <v>35.1</v>
      </c>
      <c r="L139" s="11">
        <v>29</v>
      </c>
      <c r="M139" s="7">
        <v>7.38</v>
      </c>
      <c r="N139" s="4">
        <v>25</v>
      </c>
      <c r="O139" s="11">
        <v>3.9</v>
      </c>
      <c r="P139" s="3" t="s">
        <v>59</v>
      </c>
      <c r="Q139" s="11">
        <v>7.4</v>
      </c>
      <c r="R139" s="11">
        <v>1.9</v>
      </c>
      <c r="S139" s="11">
        <v>4.7</v>
      </c>
      <c r="T139" s="11">
        <v>4.8</v>
      </c>
      <c r="U139" s="11">
        <v>5.5</v>
      </c>
      <c r="V139" s="5">
        <v>45972.675833333335</v>
      </c>
      <c r="W139" s="5">
        <v>45972.675949074073</v>
      </c>
      <c r="X139" s="6">
        <v>1.1574075324460864E-4</v>
      </c>
    </row>
    <row r="140" spans="1:24" x14ac:dyDescent="0.3">
      <c r="A140" s="2">
        <v>140</v>
      </c>
      <c r="B140" t="s">
        <v>220</v>
      </c>
      <c r="C140" t="s">
        <v>24</v>
      </c>
      <c r="D140" t="s">
        <v>67</v>
      </c>
      <c r="E140" t="s">
        <v>26</v>
      </c>
      <c r="F140" t="s">
        <v>48</v>
      </c>
      <c r="G140" s="11">
        <v>9.8000000000000007</v>
      </c>
      <c r="H140" s="11">
        <v>13.9</v>
      </c>
      <c r="I140" s="11">
        <v>4.5999999999999996</v>
      </c>
      <c r="J140" s="11">
        <v>14.8</v>
      </c>
      <c r="K140" s="3" t="s">
        <v>54</v>
      </c>
      <c r="L140" s="11">
        <v>22.4</v>
      </c>
      <c r="M140" s="7">
        <v>20.56</v>
      </c>
      <c r="N140" s="4">
        <v>25</v>
      </c>
      <c r="O140" s="11">
        <v>23.4</v>
      </c>
      <c r="P140" s="3" t="s">
        <v>59</v>
      </c>
      <c r="Q140" s="3" t="s">
        <v>68</v>
      </c>
      <c r="R140" s="11">
        <v>8.1</v>
      </c>
      <c r="S140" s="11">
        <v>26.4</v>
      </c>
      <c r="T140" s="11">
        <v>44.3</v>
      </c>
      <c r="U140" s="11">
        <v>41</v>
      </c>
      <c r="V140" s="5">
        <v>45972.676099537035</v>
      </c>
      <c r="W140" s="5">
        <v>45972.676215277781</v>
      </c>
      <c r="X140" s="6">
        <v>1.1574075324460864E-4</v>
      </c>
    </row>
    <row r="141" spans="1:24" x14ac:dyDescent="0.3">
      <c r="A141" s="2">
        <v>141</v>
      </c>
      <c r="B141" t="s">
        <v>221</v>
      </c>
      <c r="C141" t="s">
        <v>24</v>
      </c>
      <c r="D141" t="s">
        <v>70</v>
      </c>
      <c r="E141" t="s">
        <v>26</v>
      </c>
      <c r="F141" t="s">
        <v>48</v>
      </c>
      <c r="G141" s="11">
        <v>9.9</v>
      </c>
      <c r="H141" s="11">
        <v>20.7</v>
      </c>
      <c r="I141" s="11">
        <v>2.4</v>
      </c>
      <c r="J141" s="11">
        <v>16.3</v>
      </c>
      <c r="K141" s="3" t="s">
        <v>54</v>
      </c>
      <c r="L141" s="11">
        <v>15.9</v>
      </c>
      <c r="M141" s="7">
        <v>11.61</v>
      </c>
      <c r="N141" s="4">
        <v>25</v>
      </c>
      <c r="O141" s="11">
        <v>6.6</v>
      </c>
      <c r="P141" s="11">
        <v>19.899999999999999</v>
      </c>
      <c r="Q141" s="11">
        <v>7.6</v>
      </c>
      <c r="R141" s="11">
        <v>5.7</v>
      </c>
      <c r="S141" s="11">
        <v>14.3</v>
      </c>
      <c r="T141" s="11">
        <v>14.2</v>
      </c>
      <c r="U141" s="11">
        <v>11.4</v>
      </c>
      <c r="V141" s="5">
        <v>45972.676354166666</v>
      </c>
      <c r="W141" s="5">
        <v>45972.676481481481</v>
      </c>
      <c r="X141" s="6">
        <v>1.1574075324460864E-4</v>
      </c>
    </row>
    <row r="142" spans="1:24" x14ac:dyDescent="0.3">
      <c r="A142" s="2">
        <v>142</v>
      </c>
      <c r="B142" t="s">
        <v>222</v>
      </c>
      <c r="C142" t="s">
        <v>24</v>
      </c>
      <c r="D142" t="s">
        <v>72</v>
      </c>
      <c r="E142" t="s">
        <v>26</v>
      </c>
      <c r="F142" t="s">
        <v>48</v>
      </c>
      <c r="G142" s="11">
        <v>9.1</v>
      </c>
      <c r="H142" s="3" t="s">
        <v>59</v>
      </c>
      <c r="I142" s="11">
        <v>2.1</v>
      </c>
      <c r="J142" s="11">
        <v>16.3</v>
      </c>
      <c r="K142" s="3" t="s">
        <v>54</v>
      </c>
      <c r="L142" s="11">
        <v>11.7</v>
      </c>
      <c r="M142" s="7">
        <v>13.4</v>
      </c>
      <c r="N142" s="4">
        <v>25</v>
      </c>
      <c r="O142" s="11">
        <v>60.1</v>
      </c>
      <c r="P142" s="3" t="s">
        <v>59</v>
      </c>
      <c r="Q142" s="11">
        <v>23.6</v>
      </c>
      <c r="R142" s="11">
        <v>5.3</v>
      </c>
      <c r="S142" s="11">
        <v>81.599999999999994</v>
      </c>
      <c r="T142" s="11">
        <v>76.599999999999994</v>
      </c>
      <c r="U142" s="11">
        <v>60</v>
      </c>
      <c r="V142" s="5">
        <v>45972.67659722222</v>
      </c>
      <c r="W142" s="5">
        <v>45972.676712962966</v>
      </c>
      <c r="X142" s="6">
        <v>1.1574075324460864E-4</v>
      </c>
    </row>
    <row r="143" spans="1:24" x14ac:dyDescent="0.3">
      <c r="A143" s="2">
        <v>143</v>
      </c>
      <c r="B143" t="s">
        <v>223</v>
      </c>
      <c r="C143" t="s">
        <v>24</v>
      </c>
      <c r="D143" t="s">
        <v>74</v>
      </c>
      <c r="E143" t="s">
        <v>26</v>
      </c>
      <c r="F143" t="s">
        <v>48</v>
      </c>
      <c r="G143" s="11">
        <v>10.9</v>
      </c>
      <c r="H143" s="11">
        <v>22.4</v>
      </c>
      <c r="I143" s="11">
        <v>2.1</v>
      </c>
      <c r="J143" s="11">
        <v>19.8</v>
      </c>
      <c r="K143" s="11">
        <v>15.5</v>
      </c>
      <c r="L143" s="11">
        <v>23.9</v>
      </c>
      <c r="M143" s="7">
        <v>10.210000000000001</v>
      </c>
      <c r="N143" s="4">
        <v>25</v>
      </c>
      <c r="O143" s="11">
        <v>8.1999999999999993</v>
      </c>
      <c r="P143" s="11">
        <v>20.2</v>
      </c>
      <c r="Q143" s="11">
        <v>6.3</v>
      </c>
      <c r="R143" s="11">
        <v>2.1</v>
      </c>
      <c r="S143" s="11">
        <v>6.3</v>
      </c>
      <c r="T143" s="11">
        <v>7.6</v>
      </c>
      <c r="U143" s="11">
        <v>12.8</v>
      </c>
      <c r="V143" s="5">
        <v>45972.676828703705</v>
      </c>
      <c r="W143" s="5">
        <v>45972.676944444444</v>
      </c>
      <c r="X143" s="6">
        <v>1.1574075324460864E-4</v>
      </c>
    </row>
    <row r="144" spans="1:24" x14ac:dyDescent="0.3">
      <c r="A144" s="2">
        <v>144</v>
      </c>
      <c r="B144" t="s">
        <v>224</v>
      </c>
      <c r="C144" t="s">
        <v>24</v>
      </c>
      <c r="D144" t="s">
        <v>76</v>
      </c>
      <c r="E144" t="s">
        <v>26</v>
      </c>
      <c r="F144" t="s">
        <v>48</v>
      </c>
      <c r="G144" s="11">
        <v>7.1</v>
      </c>
      <c r="H144" s="11">
        <v>0.3</v>
      </c>
      <c r="I144" s="11">
        <v>0.4</v>
      </c>
      <c r="J144" s="11">
        <v>30</v>
      </c>
      <c r="K144" s="11">
        <v>69</v>
      </c>
      <c r="L144" s="11">
        <v>38.4</v>
      </c>
      <c r="M144" s="7">
        <v>10.16</v>
      </c>
      <c r="N144" s="4">
        <v>25</v>
      </c>
      <c r="O144" s="11">
        <v>1.3</v>
      </c>
      <c r="P144" s="11">
        <v>6.8</v>
      </c>
      <c r="Q144" s="11">
        <v>2.8</v>
      </c>
      <c r="R144" s="11">
        <v>1.6</v>
      </c>
      <c r="S144" s="11">
        <v>4.8</v>
      </c>
      <c r="T144" s="11">
        <v>3</v>
      </c>
      <c r="U144" s="11">
        <v>2</v>
      </c>
      <c r="V144" s="5">
        <v>45972.677071759259</v>
      </c>
      <c r="W144" s="5">
        <v>45972.677187499998</v>
      </c>
      <c r="X144" s="6">
        <v>1.1574075324460864E-4</v>
      </c>
    </row>
    <row r="145" spans="1:24" x14ac:dyDescent="0.3">
      <c r="A145" s="2">
        <v>145</v>
      </c>
      <c r="B145" t="s">
        <v>225</v>
      </c>
      <c r="C145" t="s">
        <v>24</v>
      </c>
      <c r="D145" t="s">
        <v>78</v>
      </c>
      <c r="E145" t="s">
        <v>26</v>
      </c>
      <c r="F145" t="s">
        <v>48</v>
      </c>
      <c r="G145" s="11">
        <v>10.8</v>
      </c>
      <c r="H145" s="3" t="s">
        <v>226</v>
      </c>
      <c r="I145" s="11">
        <v>2.1</v>
      </c>
      <c r="J145" s="11">
        <v>17.8</v>
      </c>
      <c r="K145" s="11">
        <v>18.8</v>
      </c>
      <c r="L145" s="11">
        <v>21.9</v>
      </c>
      <c r="M145" s="3" t="s">
        <v>227</v>
      </c>
      <c r="N145" s="4">
        <v>25</v>
      </c>
      <c r="O145" s="11">
        <v>7.9</v>
      </c>
      <c r="P145" s="11">
        <v>17.899999999999999</v>
      </c>
      <c r="Q145" s="11">
        <v>6.8</v>
      </c>
      <c r="R145" s="11">
        <v>5.0999999999999996</v>
      </c>
      <c r="S145" s="11">
        <v>6.3</v>
      </c>
      <c r="T145" s="11">
        <v>7.6</v>
      </c>
      <c r="U145" s="11">
        <v>13.3</v>
      </c>
      <c r="V145" s="5">
        <v>45972.677291666667</v>
      </c>
      <c r="W145" s="5">
        <v>45972.677453703705</v>
      </c>
      <c r="X145" s="6">
        <v>1.6203703125938773E-4</v>
      </c>
    </row>
    <row r="146" spans="1:24" x14ac:dyDescent="0.3">
      <c r="A146" s="2">
        <v>146</v>
      </c>
      <c r="B146" t="s">
        <v>228</v>
      </c>
      <c r="C146" t="s">
        <v>24</v>
      </c>
      <c r="D146" t="s">
        <v>80</v>
      </c>
      <c r="E146" t="s">
        <v>26</v>
      </c>
      <c r="F146" t="s">
        <v>48</v>
      </c>
      <c r="G146" s="11">
        <v>9.4</v>
      </c>
      <c r="H146" s="11">
        <v>7.9</v>
      </c>
      <c r="I146" s="11">
        <v>0.6</v>
      </c>
      <c r="J146" s="11">
        <v>29.1</v>
      </c>
      <c r="K146" s="11">
        <v>46.1</v>
      </c>
      <c r="L146" s="11">
        <v>35.700000000000003</v>
      </c>
      <c r="M146" s="7">
        <v>7.93</v>
      </c>
      <c r="N146" s="4">
        <v>25</v>
      </c>
      <c r="O146" s="11">
        <v>1.3</v>
      </c>
      <c r="P146" s="11">
        <v>17.5</v>
      </c>
      <c r="Q146" s="11">
        <v>3.1</v>
      </c>
      <c r="R146" s="11">
        <v>0.4</v>
      </c>
      <c r="S146" s="11">
        <v>2.8</v>
      </c>
      <c r="T146" s="11">
        <v>1.6</v>
      </c>
      <c r="U146" s="11">
        <v>4.0999999999999996</v>
      </c>
      <c r="V146" s="5">
        <v>45972.677557870367</v>
      </c>
      <c r="W146" s="5">
        <v>45972.677673611113</v>
      </c>
      <c r="X146" s="6">
        <v>1.1574075324460864E-4</v>
      </c>
    </row>
    <row r="147" spans="1:24" x14ac:dyDescent="0.3">
      <c r="A147" s="2">
        <v>147</v>
      </c>
      <c r="B147" t="s">
        <v>229</v>
      </c>
      <c r="C147" t="s">
        <v>24</v>
      </c>
      <c r="D147" t="s">
        <v>82</v>
      </c>
      <c r="E147" t="s">
        <v>26</v>
      </c>
      <c r="F147" t="s">
        <v>48</v>
      </c>
      <c r="G147" s="11">
        <v>12.2</v>
      </c>
      <c r="H147" s="11">
        <v>27.2</v>
      </c>
      <c r="I147" s="11">
        <v>1.5</v>
      </c>
      <c r="J147" s="11">
        <v>16</v>
      </c>
      <c r="K147" s="11">
        <v>15.6</v>
      </c>
      <c r="L147" s="11">
        <v>20.8</v>
      </c>
      <c r="M147" s="7">
        <v>10.16</v>
      </c>
      <c r="N147" s="4">
        <v>25</v>
      </c>
      <c r="O147" s="11">
        <v>14.3</v>
      </c>
      <c r="P147" s="11">
        <v>16</v>
      </c>
      <c r="Q147" s="11">
        <v>7.4</v>
      </c>
      <c r="R147" s="11">
        <v>4.8</v>
      </c>
      <c r="S147" s="11">
        <v>7.1</v>
      </c>
      <c r="T147" s="11">
        <v>7.5</v>
      </c>
      <c r="U147" s="11">
        <v>17.2</v>
      </c>
      <c r="V147" s="5">
        <v>45972.677789351852</v>
      </c>
      <c r="W147" s="5">
        <v>45972.677905092591</v>
      </c>
      <c r="X147" s="6">
        <v>1.1574075324460864E-4</v>
      </c>
    </row>
    <row r="148" spans="1:24" x14ac:dyDescent="0.3">
      <c r="A148" s="2">
        <v>148</v>
      </c>
      <c r="B148" t="s">
        <v>230</v>
      </c>
      <c r="C148" t="s">
        <v>24</v>
      </c>
      <c r="D148" t="s">
        <v>84</v>
      </c>
      <c r="E148" t="s">
        <v>26</v>
      </c>
      <c r="F148" t="s">
        <v>48</v>
      </c>
      <c r="G148" s="11">
        <v>9.6999999999999993</v>
      </c>
      <c r="H148" s="11">
        <v>9.3000000000000007</v>
      </c>
      <c r="I148" s="11">
        <v>1.9</v>
      </c>
      <c r="J148" s="11">
        <v>24.5</v>
      </c>
      <c r="K148" s="11">
        <v>25.1</v>
      </c>
      <c r="L148" s="11">
        <v>25.1</v>
      </c>
      <c r="M148" s="7">
        <v>8.2899999999999991</v>
      </c>
      <c r="N148" s="4">
        <v>25</v>
      </c>
      <c r="O148" s="11">
        <v>3.9</v>
      </c>
      <c r="P148" s="11">
        <v>52.5</v>
      </c>
      <c r="Q148" s="11">
        <v>7.9</v>
      </c>
      <c r="R148" s="11">
        <v>3.3</v>
      </c>
      <c r="S148" s="11">
        <v>4</v>
      </c>
      <c r="T148" s="11">
        <v>4.8</v>
      </c>
      <c r="U148" s="11">
        <v>4.8</v>
      </c>
      <c r="V148" s="5">
        <v>45972.678032407406</v>
      </c>
      <c r="W148" s="5">
        <v>45972.678182870368</v>
      </c>
      <c r="X148" s="6">
        <v>1.6203703125938773E-4</v>
      </c>
    </row>
    <row r="149" spans="1:24" x14ac:dyDescent="0.3">
      <c r="A149" s="2">
        <v>149</v>
      </c>
      <c r="B149" t="s">
        <v>231</v>
      </c>
      <c r="C149" t="s">
        <v>24</v>
      </c>
      <c r="D149" t="s">
        <v>86</v>
      </c>
      <c r="E149" t="s">
        <v>26</v>
      </c>
      <c r="F149" t="s">
        <v>48</v>
      </c>
      <c r="G149" s="11">
        <v>11</v>
      </c>
      <c r="H149" s="11">
        <v>21.1</v>
      </c>
      <c r="I149" s="11">
        <v>1.5</v>
      </c>
      <c r="J149" s="11">
        <v>24.8</v>
      </c>
      <c r="K149" s="11">
        <v>8.1</v>
      </c>
      <c r="L149" s="11">
        <v>26.5</v>
      </c>
      <c r="M149" s="7">
        <v>10.94</v>
      </c>
      <c r="N149" s="4">
        <v>25</v>
      </c>
      <c r="O149" s="11">
        <v>12.1</v>
      </c>
      <c r="P149" s="11">
        <v>36.9</v>
      </c>
      <c r="Q149" s="11">
        <v>16.8</v>
      </c>
      <c r="R149" s="11">
        <v>3.7</v>
      </c>
      <c r="S149" s="11">
        <v>15.4</v>
      </c>
      <c r="T149" s="11">
        <v>16.3</v>
      </c>
      <c r="U149" s="11">
        <v>11.7</v>
      </c>
      <c r="V149" s="5">
        <v>45972.67832175926</v>
      </c>
      <c r="W149" s="5">
        <v>45972.678449074076</v>
      </c>
      <c r="X149" s="6">
        <v>1.1574075324460864E-4</v>
      </c>
    </row>
    <row r="150" spans="1:24" x14ac:dyDescent="0.3">
      <c r="A150" s="2">
        <v>150</v>
      </c>
      <c r="B150" t="s">
        <v>232</v>
      </c>
      <c r="C150" t="s">
        <v>24</v>
      </c>
      <c r="D150" t="s">
        <v>88</v>
      </c>
      <c r="E150" t="s">
        <v>26</v>
      </c>
      <c r="F150" t="s">
        <v>48</v>
      </c>
      <c r="G150" s="11">
        <v>9.3000000000000007</v>
      </c>
      <c r="H150" s="11">
        <v>23.5</v>
      </c>
      <c r="I150" s="11">
        <v>4</v>
      </c>
      <c r="J150" s="11">
        <v>17.100000000000001</v>
      </c>
      <c r="K150" s="3" t="s">
        <v>54</v>
      </c>
      <c r="L150" s="11">
        <v>17.899999999999999</v>
      </c>
      <c r="M150" s="7">
        <v>12.03</v>
      </c>
      <c r="N150" s="4">
        <v>25</v>
      </c>
      <c r="O150" s="11">
        <v>6.5</v>
      </c>
      <c r="P150" s="11">
        <v>49.5</v>
      </c>
      <c r="Q150" s="11">
        <v>28</v>
      </c>
      <c r="R150" s="11">
        <v>2.5</v>
      </c>
      <c r="S150" s="11">
        <v>24.4</v>
      </c>
      <c r="T150" s="11">
        <v>27</v>
      </c>
      <c r="U150" s="11">
        <v>12</v>
      </c>
      <c r="V150" s="5">
        <v>45972.678564814814</v>
      </c>
      <c r="W150" s="5">
        <v>45972.678715277776</v>
      </c>
      <c r="X150" s="6">
        <v>1.6203703125938773E-4</v>
      </c>
    </row>
    <row r="151" spans="1:24" x14ac:dyDescent="0.3">
      <c r="A151" s="2">
        <v>151</v>
      </c>
      <c r="B151" t="s">
        <v>233</v>
      </c>
      <c r="C151" t="s">
        <v>24</v>
      </c>
      <c r="D151" t="s">
        <v>90</v>
      </c>
      <c r="E151" t="s">
        <v>26</v>
      </c>
      <c r="F151" t="s">
        <v>48</v>
      </c>
      <c r="G151" s="11">
        <v>11.6</v>
      </c>
      <c r="H151" s="11">
        <v>19.7</v>
      </c>
      <c r="I151" s="11">
        <v>1.4</v>
      </c>
      <c r="J151" s="11">
        <v>21.9</v>
      </c>
      <c r="K151" s="11">
        <v>4.7</v>
      </c>
      <c r="L151" s="11">
        <v>22.6</v>
      </c>
      <c r="M151" s="7">
        <v>11.14</v>
      </c>
      <c r="N151" s="4">
        <v>25</v>
      </c>
      <c r="O151" s="11">
        <v>8.1999999999999993</v>
      </c>
      <c r="P151" s="11">
        <v>24.8</v>
      </c>
      <c r="Q151" s="11">
        <v>5.6</v>
      </c>
      <c r="R151" s="11">
        <v>2.1</v>
      </c>
      <c r="S151" s="11">
        <v>8.1</v>
      </c>
      <c r="T151" s="11">
        <v>12.3</v>
      </c>
      <c r="U151" s="11">
        <v>11.2</v>
      </c>
      <c r="V151" s="5">
        <v>45972.678842592592</v>
      </c>
      <c r="W151" s="5">
        <v>45972.67895833333</v>
      </c>
      <c r="X151" s="6">
        <v>1.1574075324460864E-4</v>
      </c>
    </row>
    <row r="152" spans="1:24" x14ac:dyDescent="0.3">
      <c r="A152" s="2">
        <v>152</v>
      </c>
      <c r="B152" t="s">
        <v>234</v>
      </c>
      <c r="C152" t="s">
        <v>24</v>
      </c>
      <c r="D152" t="s">
        <v>92</v>
      </c>
      <c r="E152" t="s">
        <v>26</v>
      </c>
      <c r="F152" t="s">
        <v>48</v>
      </c>
      <c r="G152" s="11">
        <v>7.8</v>
      </c>
      <c r="H152" s="11">
        <v>17.100000000000001</v>
      </c>
      <c r="I152" s="11">
        <v>0.7</v>
      </c>
      <c r="J152" s="11">
        <v>26.6</v>
      </c>
      <c r="K152" s="11">
        <v>37.799999999999997</v>
      </c>
      <c r="L152" s="11">
        <v>30.4</v>
      </c>
      <c r="M152" s="7">
        <v>9.98</v>
      </c>
      <c r="N152" s="4">
        <v>25</v>
      </c>
      <c r="O152" s="11">
        <v>1.5</v>
      </c>
      <c r="P152" s="11">
        <v>8.6</v>
      </c>
      <c r="Q152" s="11">
        <v>2.6</v>
      </c>
      <c r="R152" s="11">
        <v>1.1000000000000001</v>
      </c>
      <c r="S152" s="11">
        <v>3</v>
      </c>
      <c r="T152" s="11">
        <v>1.4</v>
      </c>
      <c r="U152" s="11">
        <v>1.9</v>
      </c>
      <c r="V152" s="5">
        <v>45972.679062499999</v>
      </c>
      <c r="W152" s="5">
        <v>45972.679178240738</v>
      </c>
      <c r="X152" s="6">
        <v>1.1574075324460864E-4</v>
      </c>
    </row>
    <row r="153" spans="1:24" x14ac:dyDescent="0.3">
      <c r="A153" s="2">
        <v>153</v>
      </c>
      <c r="B153" t="s">
        <v>235</v>
      </c>
      <c r="C153" t="s">
        <v>24</v>
      </c>
      <c r="D153" t="s">
        <v>94</v>
      </c>
      <c r="E153" t="s">
        <v>26</v>
      </c>
      <c r="F153" t="s">
        <v>48</v>
      </c>
      <c r="G153" s="11">
        <v>11.5</v>
      </c>
      <c r="H153" s="11">
        <v>16.899999999999999</v>
      </c>
      <c r="I153" s="11">
        <v>1.3</v>
      </c>
      <c r="J153" s="11">
        <v>22.5</v>
      </c>
      <c r="K153" s="11">
        <v>14.7</v>
      </c>
      <c r="L153" s="11">
        <v>22.7</v>
      </c>
      <c r="M153" s="7">
        <v>9.86</v>
      </c>
      <c r="N153" s="4">
        <v>25</v>
      </c>
      <c r="O153" s="11">
        <v>5.4</v>
      </c>
      <c r="P153" s="11">
        <v>28.8</v>
      </c>
      <c r="Q153" s="11">
        <v>7.4</v>
      </c>
      <c r="R153" s="11">
        <v>2.9</v>
      </c>
      <c r="S153" s="11">
        <v>6.8</v>
      </c>
      <c r="T153" s="11">
        <v>7.9</v>
      </c>
      <c r="U153" s="11">
        <v>6.8</v>
      </c>
      <c r="V153" s="5">
        <v>45972.679293981484</v>
      </c>
      <c r="W153" s="5">
        <v>45972.679409722223</v>
      </c>
      <c r="X153" s="6">
        <v>1.1574075324460864E-4</v>
      </c>
    </row>
    <row r="154" spans="1:24" x14ac:dyDescent="0.3">
      <c r="A154" s="2">
        <v>154</v>
      </c>
      <c r="B154" t="s">
        <v>236</v>
      </c>
      <c r="C154" t="s">
        <v>24</v>
      </c>
      <c r="D154" t="s">
        <v>96</v>
      </c>
      <c r="E154" t="s">
        <v>26</v>
      </c>
      <c r="F154" t="s">
        <v>48</v>
      </c>
      <c r="G154" s="11">
        <v>12.3</v>
      </c>
      <c r="H154" s="11">
        <v>20.9</v>
      </c>
      <c r="I154" s="11">
        <v>1.1000000000000001</v>
      </c>
      <c r="J154" s="11">
        <v>23.3</v>
      </c>
      <c r="K154" s="11">
        <v>11.7</v>
      </c>
      <c r="L154" s="11">
        <v>23.5</v>
      </c>
      <c r="M154" s="7">
        <v>10.029999999999999</v>
      </c>
      <c r="N154" s="4">
        <v>25</v>
      </c>
      <c r="O154" s="11">
        <v>9.1999999999999993</v>
      </c>
      <c r="P154" s="11">
        <v>36.299999999999997</v>
      </c>
      <c r="Q154" s="11">
        <v>10</v>
      </c>
      <c r="R154" s="11">
        <v>3.4</v>
      </c>
      <c r="S154" s="11">
        <v>10.6</v>
      </c>
      <c r="T154" s="11">
        <v>12.2</v>
      </c>
      <c r="U154" s="11">
        <v>10.5</v>
      </c>
      <c r="V154" s="5">
        <v>45972.679513888892</v>
      </c>
      <c r="W154" s="5">
        <v>45972.679629629631</v>
      </c>
      <c r="X154" s="6">
        <v>1.1574075324460864E-4</v>
      </c>
    </row>
    <row r="155" spans="1:24" x14ac:dyDescent="0.3">
      <c r="A155" s="2">
        <v>155</v>
      </c>
      <c r="B155" t="s">
        <v>237</v>
      </c>
      <c r="C155" t="s">
        <v>24</v>
      </c>
      <c r="D155" t="s">
        <v>98</v>
      </c>
      <c r="E155" t="s">
        <v>26</v>
      </c>
      <c r="F155" t="s">
        <v>48</v>
      </c>
      <c r="G155" s="11">
        <v>8.5</v>
      </c>
      <c r="H155" s="11">
        <v>13.9</v>
      </c>
      <c r="I155" s="11">
        <v>1.2</v>
      </c>
      <c r="J155" s="11">
        <v>25.6</v>
      </c>
      <c r="K155" s="11">
        <v>47.8</v>
      </c>
      <c r="L155" s="11">
        <v>34.9</v>
      </c>
      <c r="M155" s="7">
        <v>11.58</v>
      </c>
      <c r="N155" s="4">
        <v>25</v>
      </c>
      <c r="O155" s="11">
        <v>1.5</v>
      </c>
      <c r="P155" s="11">
        <v>8.1</v>
      </c>
      <c r="Q155" s="11">
        <v>3</v>
      </c>
      <c r="R155" s="11">
        <v>0.5</v>
      </c>
      <c r="S155" s="11">
        <v>3</v>
      </c>
      <c r="T155" s="11">
        <v>3.3</v>
      </c>
      <c r="U155" s="11">
        <v>3.6</v>
      </c>
      <c r="V155" s="5">
        <v>45972.679780092592</v>
      </c>
      <c r="W155" s="5">
        <v>45972.679895833331</v>
      </c>
      <c r="X155" s="6">
        <v>1.2731482274830341E-4</v>
      </c>
    </row>
    <row r="156" spans="1:24" x14ac:dyDescent="0.3">
      <c r="A156" s="2">
        <v>156</v>
      </c>
      <c r="B156" t="s">
        <v>238</v>
      </c>
      <c r="C156" t="s">
        <v>24</v>
      </c>
      <c r="D156" t="s">
        <v>100</v>
      </c>
      <c r="E156" t="s">
        <v>26</v>
      </c>
      <c r="F156" t="s">
        <v>48</v>
      </c>
      <c r="G156" s="11">
        <v>8.5</v>
      </c>
      <c r="H156" s="11">
        <v>14.5</v>
      </c>
      <c r="I156" s="11">
        <v>0.6</v>
      </c>
      <c r="J156" s="11">
        <v>27.9</v>
      </c>
      <c r="K156" s="11">
        <v>41.1</v>
      </c>
      <c r="L156" s="11">
        <v>33</v>
      </c>
      <c r="M156" s="7">
        <v>8.98</v>
      </c>
      <c r="N156" s="4">
        <v>25</v>
      </c>
      <c r="O156" s="11">
        <v>1.5</v>
      </c>
      <c r="P156" s="11">
        <v>14.5</v>
      </c>
      <c r="Q156" s="11">
        <v>4.3</v>
      </c>
      <c r="R156" s="11">
        <v>0.9</v>
      </c>
      <c r="S156" s="11">
        <v>4.0999999999999996</v>
      </c>
      <c r="T156" s="11">
        <v>2.2000000000000002</v>
      </c>
      <c r="U156" s="11">
        <v>2.9</v>
      </c>
      <c r="V156" s="5">
        <v>45972.680011574077</v>
      </c>
      <c r="W156" s="5">
        <v>45972.680162037039</v>
      </c>
      <c r="X156" s="6">
        <v>1.5046296175569296E-4</v>
      </c>
    </row>
    <row r="157" spans="1:24" x14ac:dyDescent="0.3">
      <c r="A157" s="2">
        <v>157</v>
      </c>
      <c r="B157" t="s">
        <v>239</v>
      </c>
      <c r="C157" t="s">
        <v>24</v>
      </c>
      <c r="D157" t="s">
        <v>102</v>
      </c>
      <c r="E157" t="s">
        <v>26</v>
      </c>
      <c r="F157" t="s">
        <v>48</v>
      </c>
      <c r="G157" s="11">
        <v>12.3</v>
      </c>
      <c r="H157" s="11">
        <v>26.4</v>
      </c>
      <c r="I157" s="11">
        <v>1.5</v>
      </c>
      <c r="J157" s="11">
        <v>15.8</v>
      </c>
      <c r="K157" s="11">
        <v>18.5</v>
      </c>
      <c r="L157" s="11">
        <v>20.8</v>
      </c>
      <c r="M157" s="7">
        <v>10.37</v>
      </c>
      <c r="N157" s="4">
        <v>25</v>
      </c>
      <c r="O157" s="11">
        <v>15.2</v>
      </c>
      <c r="P157" s="11">
        <v>16.8</v>
      </c>
      <c r="Q157" s="11">
        <v>8.1</v>
      </c>
      <c r="R157" s="11">
        <v>5.3</v>
      </c>
      <c r="S157" s="11">
        <v>7.6</v>
      </c>
      <c r="T157" s="11">
        <v>7.5</v>
      </c>
      <c r="U157" s="11">
        <v>18.8</v>
      </c>
      <c r="V157" s="5">
        <v>45972.680277777778</v>
      </c>
      <c r="W157" s="5">
        <v>45972.680393518516</v>
      </c>
      <c r="X157" s="6">
        <v>1.2731482274830341E-4</v>
      </c>
    </row>
    <row r="158" spans="1:24" x14ac:dyDescent="0.3">
      <c r="A158" s="2">
        <v>158</v>
      </c>
      <c r="B158" t="s">
        <v>240</v>
      </c>
      <c r="C158" t="s">
        <v>24</v>
      </c>
      <c r="D158" t="s">
        <v>104</v>
      </c>
      <c r="E158" t="s">
        <v>26</v>
      </c>
      <c r="F158" t="s">
        <v>48</v>
      </c>
      <c r="G158" s="11">
        <v>11.1</v>
      </c>
      <c r="H158" s="11">
        <v>14.5</v>
      </c>
      <c r="I158" s="11">
        <v>1.7</v>
      </c>
      <c r="J158" s="11">
        <v>18</v>
      </c>
      <c r="K158" s="11">
        <v>17.7</v>
      </c>
      <c r="L158" s="11">
        <v>20.6</v>
      </c>
      <c r="M158" s="7">
        <v>9.51</v>
      </c>
      <c r="N158" s="4">
        <v>25</v>
      </c>
      <c r="O158" s="11">
        <v>5.7</v>
      </c>
      <c r="P158" s="11">
        <v>20</v>
      </c>
      <c r="Q158" s="11">
        <v>4.7</v>
      </c>
      <c r="R158" s="11">
        <v>5.4</v>
      </c>
      <c r="S158" s="11">
        <v>6.3</v>
      </c>
      <c r="T158" s="11">
        <v>5.7</v>
      </c>
      <c r="U158" s="11">
        <v>9.5</v>
      </c>
      <c r="V158" s="5">
        <v>45972.680509259262</v>
      </c>
      <c r="W158" s="5">
        <v>45972.680636574078</v>
      </c>
      <c r="X158" s="6">
        <v>1.2731482274830341E-4</v>
      </c>
    </row>
    <row r="159" spans="1:24" x14ac:dyDescent="0.3">
      <c r="A159" s="2">
        <v>159</v>
      </c>
      <c r="B159" t="s">
        <v>241</v>
      </c>
      <c r="C159" t="s">
        <v>24</v>
      </c>
      <c r="D159" t="s">
        <v>106</v>
      </c>
      <c r="E159" t="s">
        <v>26</v>
      </c>
      <c r="F159" t="s">
        <v>48</v>
      </c>
      <c r="G159" s="11">
        <v>11.9</v>
      </c>
      <c r="H159" s="11">
        <v>17</v>
      </c>
      <c r="I159" s="11">
        <v>1.7</v>
      </c>
      <c r="J159" s="11">
        <v>17.7</v>
      </c>
      <c r="K159" s="11">
        <v>21.7</v>
      </c>
      <c r="L159" s="11">
        <v>22.4</v>
      </c>
      <c r="M159" s="7">
        <v>9.73</v>
      </c>
      <c r="N159" s="4">
        <v>25</v>
      </c>
      <c r="O159" s="11">
        <v>11.5</v>
      </c>
      <c r="P159" s="11">
        <v>24.5</v>
      </c>
      <c r="Q159" s="11">
        <v>7.5</v>
      </c>
      <c r="R159" s="11">
        <v>4.9000000000000004</v>
      </c>
      <c r="S159" s="11">
        <v>7.5</v>
      </c>
      <c r="T159" s="11">
        <v>8.6999999999999993</v>
      </c>
      <c r="U159" s="11">
        <v>18.399999999999999</v>
      </c>
      <c r="V159" s="5">
        <v>45972.680752314816</v>
      </c>
      <c r="W159" s="5">
        <v>45972.680868055555</v>
      </c>
      <c r="X159" s="6">
        <v>1.1574075324460864E-4</v>
      </c>
    </row>
    <row r="160" spans="1:24" x14ac:dyDescent="0.3">
      <c r="A160" s="2">
        <v>160</v>
      </c>
      <c r="B160" t="s">
        <v>242</v>
      </c>
      <c r="C160" t="s">
        <v>24</v>
      </c>
      <c r="D160" t="s">
        <v>108</v>
      </c>
      <c r="E160" t="s">
        <v>26</v>
      </c>
      <c r="F160" t="s">
        <v>48</v>
      </c>
      <c r="G160" s="11">
        <v>8.4</v>
      </c>
      <c r="H160" s="11">
        <v>7.3</v>
      </c>
      <c r="I160" s="11">
        <v>0.9</v>
      </c>
      <c r="J160" s="11">
        <v>27.6</v>
      </c>
      <c r="K160" s="11">
        <v>46.2</v>
      </c>
      <c r="L160" s="11">
        <v>33.5</v>
      </c>
      <c r="M160" s="7">
        <v>8.98</v>
      </c>
      <c r="N160" s="4">
        <v>25</v>
      </c>
      <c r="O160" s="11">
        <v>0.9</v>
      </c>
      <c r="P160" s="11">
        <v>8</v>
      </c>
      <c r="Q160" s="11">
        <v>1.3</v>
      </c>
      <c r="R160" s="11">
        <v>0.4</v>
      </c>
      <c r="S160" s="11">
        <v>1.2</v>
      </c>
      <c r="T160" s="11">
        <v>0.9</v>
      </c>
      <c r="U160" s="11">
        <v>1.9</v>
      </c>
      <c r="V160" s="5">
        <v>45972.680983796294</v>
      </c>
      <c r="W160" s="5">
        <v>45972.68109953704</v>
      </c>
      <c r="X160" s="6">
        <v>1.1574075324460864E-4</v>
      </c>
    </row>
    <row r="161" spans="1:24" x14ac:dyDescent="0.3">
      <c r="A161" s="2">
        <v>161</v>
      </c>
      <c r="B161" t="s">
        <v>243</v>
      </c>
      <c r="C161" t="s">
        <v>24</v>
      </c>
      <c r="D161" t="s">
        <v>100</v>
      </c>
      <c r="E161" t="s">
        <v>244</v>
      </c>
      <c r="F161" t="s">
        <v>48</v>
      </c>
      <c r="G161" s="11">
        <v>7.5</v>
      </c>
      <c r="H161" s="11">
        <v>16.2</v>
      </c>
      <c r="I161" s="11">
        <v>0.6</v>
      </c>
      <c r="J161" s="11">
        <v>27.8</v>
      </c>
      <c r="K161" s="11">
        <v>42.9</v>
      </c>
      <c r="L161" s="11">
        <v>31.5</v>
      </c>
      <c r="M161" s="7">
        <v>11.92</v>
      </c>
      <c r="N161" s="4">
        <v>25</v>
      </c>
      <c r="O161" s="11">
        <v>3.1</v>
      </c>
      <c r="P161" s="11">
        <v>20.3</v>
      </c>
      <c r="Q161" s="11">
        <v>5.0999999999999996</v>
      </c>
      <c r="R161" s="11">
        <v>1.3</v>
      </c>
      <c r="S161" s="11">
        <v>5.3</v>
      </c>
      <c r="T161" s="11">
        <v>3.7</v>
      </c>
      <c r="U161" s="11">
        <v>4.7</v>
      </c>
      <c r="V161" s="5">
        <v>45972.685196759259</v>
      </c>
      <c r="W161" s="5">
        <v>45972.68546296296</v>
      </c>
      <c r="X161" s="6">
        <v>2.662037150003016E-4</v>
      </c>
    </row>
    <row r="162" spans="1:24" x14ac:dyDescent="0.3">
      <c r="A162" s="2">
        <v>162</v>
      </c>
      <c r="B162" t="s">
        <v>245</v>
      </c>
      <c r="C162" t="s">
        <v>24</v>
      </c>
      <c r="D162" t="s">
        <v>102</v>
      </c>
      <c r="E162" t="s">
        <v>26</v>
      </c>
      <c r="F162" t="s">
        <v>48</v>
      </c>
      <c r="G162" s="11">
        <v>12</v>
      </c>
      <c r="H162" s="11">
        <v>26.7</v>
      </c>
      <c r="I162" s="11">
        <v>1.5</v>
      </c>
      <c r="J162" s="11">
        <v>15.9</v>
      </c>
      <c r="K162" s="11">
        <v>20.100000000000001</v>
      </c>
      <c r="L162" s="11">
        <v>20.6</v>
      </c>
      <c r="M162" s="7">
        <v>11.3</v>
      </c>
      <c r="N162" s="4">
        <v>25</v>
      </c>
      <c r="O162" s="11">
        <v>13.2</v>
      </c>
      <c r="P162" s="11">
        <v>15.8</v>
      </c>
      <c r="Q162" s="11">
        <v>7.4</v>
      </c>
      <c r="R162" s="11">
        <v>5</v>
      </c>
      <c r="S162" s="11">
        <v>6.6</v>
      </c>
      <c r="T162" s="11">
        <v>6.4</v>
      </c>
      <c r="U162" s="11">
        <v>16.600000000000001</v>
      </c>
      <c r="V162" s="5">
        <v>45972.685613425929</v>
      </c>
      <c r="W162" s="5">
        <v>45972.685729166667</v>
      </c>
      <c r="X162" s="6">
        <v>1.1574075324460864E-4</v>
      </c>
    </row>
    <row r="163" spans="1:24" x14ac:dyDescent="0.3">
      <c r="A163" s="2">
        <v>163</v>
      </c>
      <c r="B163" t="s">
        <v>246</v>
      </c>
      <c r="C163" t="s">
        <v>24</v>
      </c>
      <c r="D163" t="s">
        <v>104</v>
      </c>
      <c r="E163" t="s">
        <v>26</v>
      </c>
      <c r="F163" t="s">
        <v>48</v>
      </c>
      <c r="G163" s="11">
        <v>10.8</v>
      </c>
      <c r="H163" s="11">
        <v>15.2</v>
      </c>
      <c r="I163" s="11">
        <v>1.7</v>
      </c>
      <c r="J163" s="11">
        <v>18.100000000000001</v>
      </c>
      <c r="K163" s="11">
        <v>19.3</v>
      </c>
      <c r="L163" s="11">
        <v>20.5</v>
      </c>
      <c r="M163" s="7">
        <v>10.55</v>
      </c>
      <c r="N163" s="4">
        <v>25</v>
      </c>
      <c r="O163" s="11">
        <v>4.5</v>
      </c>
      <c r="P163" s="11">
        <v>18.399999999999999</v>
      </c>
      <c r="Q163" s="11">
        <v>4.4000000000000004</v>
      </c>
      <c r="R163" s="11">
        <v>4.9000000000000004</v>
      </c>
      <c r="S163" s="11">
        <v>5.7</v>
      </c>
      <c r="T163" s="11">
        <v>4.7</v>
      </c>
      <c r="U163" s="11">
        <v>8.5</v>
      </c>
      <c r="V163" s="5">
        <v>45972.685844907406</v>
      </c>
      <c r="W163" s="5">
        <v>45972.685972222222</v>
      </c>
      <c r="X163" s="6">
        <v>1.1574075324460864E-4</v>
      </c>
    </row>
    <row r="164" spans="1:24" x14ac:dyDescent="0.3">
      <c r="A164" s="2">
        <v>164</v>
      </c>
      <c r="B164" t="s">
        <v>247</v>
      </c>
      <c r="C164" t="s">
        <v>24</v>
      </c>
      <c r="D164" t="s">
        <v>106</v>
      </c>
      <c r="E164" t="s">
        <v>26</v>
      </c>
      <c r="F164" t="s">
        <v>48</v>
      </c>
      <c r="G164" s="11">
        <v>11.6</v>
      </c>
      <c r="H164" s="11">
        <v>18</v>
      </c>
      <c r="I164" s="11">
        <v>1.8</v>
      </c>
      <c r="J164" s="11">
        <v>17.600000000000001</v>
      </c>
      <c r="K164" s="11">
        <v>22.9</v>
      </c>
      <c r="L164" s="11">
        <v>21.8</v>
      </c>
      <c r="M164" s="7">
        <v>10.64</v>
      </c>
      <c r="N164" s="4">
        <v>25</v>
      </c>
      <c r="O164" s="11">
        <v>9.4</v>
      </c>
      <c r="P164" s="11">
        <v>22.6</v>
      </c>
      <c r="Q164" s="11">
        <v>6.9</v>
      </c>
      <c r="R164" s="11">
        <v>4.5999999999999996</v>
      </c>
      <c r="S164" s="11">
        <v>6.8</v>
      </c>
      <c r="T164" s="11">
        <v>7.6</v>
      </c>
      <c r="U164" s="11">
        <v>16.3</v>
      </c>
      <c r="V164" s="5">
        <v>45972.68608796296</v>
      </c>
      <c r="W164" s="5">
        <v>45972.686215277776</v>
      </c>
      <c r="X164" s="6">
        <v>1.2731482274830341E-4</v>
      </c>
    </row>
    <row r="165" spans="1:24" x14ac:dyDescent="0.3">
      <c r="A165" s="2">
        <v>165</v>
      </c>
      <c r="B165" t="s">
        <v>248</v>
      </c>
      <c r="C165" t="s">
        <v>24</v>
      </c>
      <c r="D165" t="s">
        <v>108</v>
      </c>
      <c r="E165" t="s">
        <v>26</v>
      </c>
      <c r="F165" t="s">
        <v>48</v>
      </c>
      <c r="G165" s="11">
        <v>7.8</v>
      </c>
      <c r="H165" s="11">
        <v>9.3000000000000007</v>
      </c>
      <c r="I165" s="11">
        <v>1</v>
      </c>
      <c r="J165" s="11">
        <v>27.3</v>
      </c>
      <c r="K165" s="11">
        <v>47.5</v>
      </c>
      <c r="L165" s="11">
        <v>32.5</v>
      </c>
      <c r="M165" s="7">
        <v>11.29</v>
      </c>
      <c r="N165" s="4">
        <v>25</v>
      </c>
      <c r="O165" s="11">
        <v>0.9</v>
      </c>
      <c r="P165" s="11">
        <v>7.9</v>
      </c>
      <c r="Q165" s="11">
        <v>1.3</v>
      </c>
      <c r="R165" s="11">
        <v>0.4</v>
      </c>
      <c r="S165" s="11">
        <v>1.2</v>
      </c>
      <c r="T165" s="11">
        <v>1.3</v>
      </c>
      <c r="U165" s="11">
        <v>2.1</v>
      </c>
      <c r="V165" s="5">
        <v>45972.686342592591</v>
      </c>
      <c r="W165" s="5">
        <v>45972.68645833333</v>
      </c>
      <c r="X165" s="6">
        <v>1.2731482274830341E-4</v>
      </c>
    </row>
    <row r="166" spans="1:24" x14ac:dyDescent="0.3">
      <c r="A166" s="2">
        <v>166</v>
      </c>
      <c r="B166" t="s">
        <v>249</v>
      </c>
      <c r="C166" t="s">
        <v>24</v>
      </c>
      <c r="D166" t="s">
        <v>56</v>
      </c>
      <c r="E166" t="s">
        <v>250</v>
      </c>
      <c r="F166" t="s">
        <v>48</v>
      </c>
      <c r="G166" s="11">
        <v>7.8</v>
      </c>
      <c r="H166" s="11">
        <v>3.9</v>
      </c>
      <c r="I166" s="11">
        <v>1.2</v>
      </c>
      <c r="J166" s="11">
        <v>27.7</v>
      </c>
      <c r="K166" s="11">
        <v>63.2</v>
      </c>
      <c r="L166" s="11">
        <v>33.9</v>
      </c>
      <c r="M166" s="7">
        <v>12.26</v>
      </c>
      <c r="N166" s="4">
        <v>25</v>
      </c>
      <c r="O166" s="11">
        <v>3.1</v>
      </c>
      <c r="P166" s="11">
        <v>3.7</v>
      </c>
      <c r="Q166" s="11">
        <v>4.7</v>
      </c>
      <c r="R166" s="11">
        <v>3.7</v>
      </c>
      <c r="S166" s="11">
        <v>8.9</v>
      </c>
      <c r="T166" s="11">
        <v>2.2000000000000002</v>
      </c>
      <c r="U166" s="11">
        <v>3</v>
      </c>
      <c r="V166" s="5">
        <v>45973.380555555559</v>
      </c>
      <c r="W166" s="5">
        <v>45973.380798611113</v>
      </c>
      <c r="X166" s="6">
        <v>2.5462961639277637E-4</v>
      </c>
    </row>
    <row r="167" spans="1:24" x14ac:dyDescent="0.3">
      <c r="A167" s="2">
        <v>167</v>
      </c>
      <c r="B167" t="s">
        <v>251</v>
      </c>
      <c r="C167" t="s">
        <v>24</v>
      </c>
      <c r="D167" t="s">
        <v>58</v>
      </c>
      <c r="E167" t="s">
        <v>26</v>
      </c>
      <c r="F167" t="s">
        <v>48</v>
      </c>
      <c r="G167" s="11">
        <v>11.7</v>
      </c>
      <c r="H167" s="11">
        <v>39.4</v>
      </c>
      <c r="I167" s="11">
        <v>3.9</v>
      </c>
      <c r="J167" s="11">
        <v>13.8</v>
      </c>
      <c r="K167" s="3" t="s">
        <v>54</v>
      </c>
      <c r="L167" s="11">
        <v>6.8</v>
      </c>
      <c r="M167" s="3" t="s">
        <v>252</v>
      </c>
      <c r="N167" s="4">
        <v>25</v>
      </c>
      <c r="O167" s="11">
        <v>58.9</v>
      </c>
      <c r="P167" s="3" t="s">
        <v>59</v>
      </c>
      <c r="Q167" s="3" t="s">
        <v>68</v>
      </c>
      <c r="R167" s="11">
        <v>7.4</v>
      </c>
      <c r="S167" s="3" t="s">
        <v>253</v>
      </c>
      <c r="T167" s="3" t="s">
        <v>254</v>
      </c>
      <c r="U167" s="3" t="s">
        <v>255</v>
      </c>
      <c r="V167" s="5">
        <v>45973.380914351852</v>
      </c>
      <c r="W167" s="5">
        <v>45973.381053240744</v>
      </c>
      <c r="X167" s="6">
        <v>1.3888889225199819E-4</v>
      </c>
    </row>
    <row r="168" spans="1:24" x14ac:dyDescent="0.3">
      <c r="A168" s="2">
        <v>168</v>
      </c>
      <c r="B168" t="s">
        <v>256</v>
      </c>
      <c r="C168" t="s">
        <v>24</v>
      </c>
      <c r="D168" t="s">
        <v>61</v>
      </c>
      <c r="E168" t="s">
        <v>26</v>
      </c>
      <c r="F168" t="s">
        <v>48</v>
      </c>
      <c r="G168" s="11">
        <v>7.3</v>
      </c>
      <c r="H168" s="11">
        <v>22.3</v>
      </c>
      <c r="I168" s="11">
        <v>1.1000000000000001</v>
      </c>
      <c r="J168" s="11">
        <v>17.8</v>
      </c>
      <c r="K168" s="11">
        <v>12</v>
      </c>
      <c r="L168" s="11">
        <v>19.5</v>
      </c>
      <c r="M168" s="7">
        <v>10.11</v>
      </c>
      <c r="N168" s="4">
        <v>25</v>
      </c>
      <c r="O168" s="11">
        <v>5.2</v>
      </c>
      <c r="P168" s="3" t="s">
        <v>59</v>
      </c>
      <c r="Q168" s="11">
        <v>12.4</v>
      </c>
      <c r="R168" s="11">
        <v>5.6</v>
      </c>
      <c r="S168" s="11">
        <v>11.8</v>
      </c>
      <c r="T168" s="11">
        <v>13</v>
      </c>
      <c r="U168" s="11">
        <v>17.2</v>
      </c>
      <c r="V168" s="5">
        <v>45973.381168981483</v>
      </c>
      <c r="W168" s="5">
        <v>45973.381296296298</v>
      </c>
      <c r="X168" s="6">
        <v>1.3888889225199819E-4</v>
      </c>
    </row>
    <row r="169" spans="1:24" x14ac:dyDescent="0.3">
      <c r="A169" s="2">
        <v>169</v>
      </c>
      <c r="B169" t="s">
        <v>257</v>
      </c>
      <c r="C169" t="s">
        <v>24</v>
      </c>
      <c r="D169" t="s">
        <v>63</v>
      </c>
      <c r="E169" t="s">
        <v>26</v>
      </c>
      <c r="F169" t="s">
        <v>48</v>
      </c>
      <c r="G169" s="11">
        <v>10.6</v>
      </c>
      <c r="H169" s="11">
        <v>26.3</v>
      </c>
      <c r="I169" s="11">
        <v>3.4</v>
      </c>
      <c r="J169" s="11">
        <v>13</v>
      </c>
      <c r="K169" s="3" t="s">
        <v>54</v>
      </c>
      <c r="L169" s="11">
        <v>8.6999999999999993</v>
      </c>
      <c r="M169" s="7">
        <v>14.48</v>
      </c>
      <c r="N169" s="4">
        <v>25</v>
      </c>
      <c r="O169" s="11">
        <v>12.5</v>
      </c>
      <c r="P169" s="11">
        <v>41.2</v>
      </c>
      <c r="Q169" s="11">
        <v>20.2</v>
      </c>
      <c r="R169" s="11">
        <v>9.1999999999999993</v>
      </c>
      <c r="S169" s="11">
        <v>37.5</v>
      </c>
      <c r="T169" s="11">
        <v>36.9</v>
      </c>
      <c r="U169" s="11">
        <v>21.8</v>
      </c>
      <c r="V169" s="5">
        <v>45973.38140046296</v>
      </c>
      <c r="W169" s="5">
        <v>45973.381504629629</v>
      </c>
      <c r="X169" s="6">
        <v>9.2592585133388638E-5</v>
      </c>
    </row>
    <row r="170" spans="1:24" x14ac:dyDescent="0.3">
      <c r="A170" s="2">
        <v>170</v>
      </c>
      <c r="B170" t="s">
        <v>258</v>
      </c>
      <c r="C170" t="s">
        <v>24</v>
      </c>
      <c r="D170" t="s">
        <v>65</v>
      </c>
      <c r="E170" t="s">
        <v>26</v>
      </c>
      <c r="F170" t="s">
        <v>48</v>
      </c>
      <c r="G170" s="11">
        <v>10.3</v>
      </c>
      <c r="H170" s="11">
        <v>12.4</v>
      </c>
      <c r="I170" s="11">
        <v>3.3</v>
      </c>
      <c r="J170" s="11">
        <v>19.8</v>
      </c>
      <c r="K170" s="11">
        <v>45.9</v>
      </c>
      <c r="L170" s="11">
        <v>24.8</v>
      </c>
      <c r="M170" s="3" t="s">
        <v>252</v>
      </c>
      <c r="N170" s="4">
        <v>25</v>
      </c>
      <c r="O170" s="11">
        <v>17.3</v>
      </c>
      <c r="P170" s="3" t="s">
        <v>59</v>
      </c>
      <c r="Q170" s="3" t="s">
        <v>68</v>
      </c>
      <c r="R170" s="11">
        <v>14.3</v>
      </c>
      <c r="S170" s="11">
        <v>82.5</v>
      </c>
      <c r="T170" s="3" t="s">
        <v>254</v>
      </c>
      <c r="U170" s="3" t="s">
        <v>255</v>
      </c>
      <c r="V170" s="5">
        <v>45973.381620370368</v>
      </c>
      <c r="W170" s="5">
        <v>45973.38175925926</v>
      </c>
      <c r="X170" s="6">
        <v>1.2731482274830341E-4</v>
      </c>
    </row>
    <row r="171" spans="1:24" x14ac:dyDescent="0.3">
      <c r="A171" s="2">
        <v>171</v>
      </c>
      <c r="B171" t="s">
        <v>259</v>
      </c>
      <c r="C171" t="s">
        <v>24</v>
      </c>
      <c r="D171" t="s">
        <v>67</v>
      </c>
      <c r="E171" t="s">
        <v>26</v>
      </c>
      <c r="F171" t="s">
        <v>48</v>
      </c>
      <c r="G171" s="11">
        <v>9.8000000000000007</v>
      </c>
      <c r="H171" s="11">
        <v>14.2</v>
      </c>
      <c r="I171" s="11">
        <v>4.5999999999999996</v>
      </c>
      <c r="J171" s="11">
        <v>14.7</v>
      </c>
      <c r="K171" s="3" t="s">
        <v>54</v>
      </c>
      <c r="L171" s="11">
        <v>22.4</v>
      </c>
      <c r="M171" s="7">
        <v>20.95</v>
      </c>
      <c r="N171" s="4">
        <v>25</v>
      </c>
      <c r="O171" s="11">
        <v>21.5</v>
      </c>
      <c r="P171" s="3" t="s">
        <v>59</v>
      </c>
      <c r="Q171" s="3" t="s">
        <v>68</v>
      </c>
      <c r="R171" s="11">
        <v>7.8</v>
      </c>
      <c r="S171" s="11">
        <v>26.4</v>
      </c>
      <c r="T171" s="11">
        <v>43.5</v>
      </c>
      <c r="U171" s="11">
        <v>39.1</v>
      </c>
      <c r="V171" s="5">
        <v>45973.381851851853</v>
      </c>
      <c r="W171" s="5">
        <v>45973.381990740738</v>
      </c>
      <c r="X171" s="6">
        <v>1.3888889225199819E-4</v>
      </c>
    </row>
    <row r="172" spans="1:24" x14ac:dyDescent="0.3">
      <c r="A172" s="2">
        <v>172</v>
      </c>
      <c r="B172" t="s">
        <v>260</v>
      </c>
      <c r="C172" t="s">
        <v>24</v>
      </c>
      <c r="D172" t="s">
        <v>70</v>
      </c>
      <c r="E172" t="s">
        <v>26</v>
      </c>
      <c r="F172" t="s">
        <v>48</v>
      </c>
      <c r="G172" s="11">
        <v>9.8000000000000007</v>
      </c>
      <c r="H172" s="11">
        <v>21</v>
      </c>
      <c r="I172" s="11">
        <v>2.6</v>
      </c>
      <c r="J172" s="11">
        <v>16.2</v>
      </c>
      <c r="K172" s="3" t="s">
        <v>54</v>
      </c>
      <c r="L172" s="11">
        <v>15.9</v>
      </c>
      <c r="M172" s="7">
        <v>12.32</v>
      </c>
      <c r="N172" s="4">
        <v>25</v>
      </c>
      <c r="O172" s="11">
        <v>5.6</v>
      </c>
      <c r="P172" s="11">
        <v>17.399999999999999</v>
      </c>
      <c r="Q172" s="11">
        <v>8.6</v>
      </c>
      <c r="R172" s="11">
        <v>5.5</v>
      </c>
      <c r="S172" s="11">
        <v>14.2</v>
      </c>
      <c r="T172" s="11">
        <v>14.2</v>
      </c>
      <c r="U172" s="11">
        <v>10</v>
      </c>
      <c r="V172" s="5">
        <v>45973.382118055553</v>
      </c>
      <c r="W172" s="5">
        <v>45973.382245370369</v>
      </c>
      <c r="X172" s="6">
        <v>1.2731482274830341E-4</v>
      </c>
    </row>
    <row r="173" spans="1:24" x14ac:dyDescent="0.3">
      <c r="A173" s="2">
        <v>173</v>
      </c>
      <c r="B173" t="s">
        <v>261</v>
      </c>
      <c r="C173" t="s">
        <v>24</v>
      </c>
      <c r="D173" t="s">
        <v>72</v>
      </c>
      <c r="E173" t="s">
        <v>26</v>
      </c>
      <c r="F173" t="s">
        <v>48</v>
      </c>
      <c r="G173" s="3" t="s">
        <v>262</v>
      </c>
      <c r="H173" s="3" t="s">
        <v>263</v>
      </c>
      <c r="I173" s="3" t="s">
        <v>264</v>
      </c>
      <c r="J173" s="11">
        <v>16.2</v>
      </c>
      <c r="K173" s="3" t="s">
        <v>265</v>
      </c>
      <c r="L173" s="3" t="s">
        <v>266</v>
      </c>
      <c r="M173" s="3" t="s">
        <v>262</v>
      </c>
      <c r="N173" s="4">
        <v>25</v>
      </c>
      <c r="O173" s="11">
        <v>53.9</v>
      </c>
      <c r="P173" s="3" t="s">
        <v>59</v>
      </c>
      <c r="Q173" s="11">
        <v>22.8</v>
      </c>
      <c r="R173" s="11">
        <v>5.2</v>
      </c>
      <c r="S173" s="11">
        <v>73.8</v>
      </c>
      <c r="T173" s="11">
        <v>72.8</v>
      </c>
      <c r="U173" s="11">
        <v>53.5</v>
      </c>
      <c r="V173" s="5">
        <v>45973.382337962961</v>
      </c>
      <c r="W173" s="5">
        <v>45973.382523148146</v>
      </c>
      <c r="X173" s="6">
        <v>1.736111007630825E-4</v>
      </c>
    </row>
    <row r="174" spans="1:24" x14ac:dyDescent="0.3">
      <c r="A174" s="2">
        <v>174</v>
      </c>
      <c r="B174" t="s">
        <v>267</v>
      </c>
      <c r="C174" t="s">
        <v>24</v>
      </c>
      <c r="D174" t="s">
        <v>74</v>
      </c>
      <c r="E174" t="s">
        <v>26</v>
      </c>
      <c r="F174" t="s">
        <v>48</v>
      </c>
      <c r="G174" s="11">
        <v>10.9</v>
      </c>
      <c r="H174" s="11">
        <v>22.4</v>
      </c>
      <c r="I174" s="11">
        <v>2.2000000000000002</v>
      </c>
      <c r="J174" s="11">
        <v>19.7</v>
      </c>
      <c r="K174" s="11">
        <v>14.5</v>
      </c>
      <c r="L174" s="11">
        <v>23.9</v>
      </c>
      <c r="M174" s="7">
        <v>10.83</v>
      </c>
      <c r="N174" s="4">
        <v>25</v>
      </c>
      <c r="O174" s="11">
        <v>7.2</v>
      </c>
      <c r="P174" s="11">
        <v>18.100000000000001</v>
      </c>
      <c r="Q174" s="11">
        <v>7</v>
      </c>
      <c r="R174" s="11">
        <v>2.1</v>
      </c>
      <c r="S174" s="11">
        <v>6</v>
      </c>
      <c r="T174" s="11">
        <v>8</v>
      </c>
      <c r="U174" s="11">
        <v>11.6</v>
      </c>
      <c r="V174" s="5">
        <v>45973.382615740738</v>
      </c>
      <c r="W174" s="5">
        <v>45973.382708333331</v>
      </c>
      <c r="X174" s="6">
        <v>9.2592585133388638E-5</v>
      </c>
    </row>
    <row r="175" spans="1:24" x14ac:dyDescent="0.3">
      <c r="A175" s="2">
        <v>175</v>
      </c>
      <c r="B175" t="s">
        <v>268</v>
      </c>
      <c r="C175" t="s">
        <v>24</v>
      </c>
      <c r="D175" t="s">
        <v>76</v>
      </c>
      <c r="E175" t="s">
        <v>26</v>
      </c>
      <c r="F175" t="s">
        <v>48</v>
      </c>
      <c r="G175" s="11">
        <v>7</v>
      </c>
      <c r="H175" s="11">
        <v>2.2000000000000002</v>
      </c>
      <c r="I175" s="11">
        <v>0.9</v>
      </c>
      <c r="J175" s="11">
        <v>29.3</v>
      </c>
      <c r="K175" s="11">
        <v>63.5</v>
      </c>
      <c r="L175" s="11">
        <v>37.200000000000003</v>
      </c>
      <c r="M175" s="7">
        <v>11.26</v>
      </c>
      <c r="N175" s="4">
        <v>25</v>
      </c>
      <c r="O175" s="11">
        <v>1.4</v>
      </c>
      <c r="P175" s="11">
        <v>2.9</v>
      </c>
      <c r="Q175" s="11">
        <v>2.2999999999999998</v>
      </c>
      <c r="R175" s="11">
        <v>1.4</v>
      </c>
      <c r="S175" s="11">
        <v>4.3</v>
      </c>
      <c r="T175" s="11">
        <v>1.3</v>
      </c>
      <c r="U175" s="11">
        <v>1.5</v>
      </c>
      <c r="V175" s="5">
        <v>45973.382847222223</v>
      </c>
      <c r="W175" s="5">
        <v>45973.382974537039</v>
      </c>
      <c r="X175" s="6">
        <v>1.3888889225199819E-4</v>
      </c>
    </row>
    <row r="176" spans="1:24" x14ac:dyDescent="0.3">
      <c r="A176" s="2">
        <v>176</v>
      </c>
      <c r="B176" t="s">
        <v>269</v>
      </c>
      <c r="C176" t="s">
        <v>24</v>
      </c>
      <c r="D176" t="s">
        <v>78</v>
      </c>
      <c r="E176" t="s">
        <v>26</v>
      </c>
      <c r="F176" t="s">
        <v>48</v>
      </c>
      <c r="G176" s="11">
        <v>10.8</v>
      </c>
      <c r="H176" s="11">
        <v>17.2</v>
      </c>
      <c r="I176" s="11">
        <v>2.2999999999999998</v>
      </c>
      <c r="J176" s="11">
        <v>17.7</v>
      </c>
      <c r="K176" s="11">
        <v>17.7</v>
      </c>
      <c r="L176" s="11">
        <v>21.9</v>
      </c>
      <c r="M176" s="7">
        <v>11.98</v>
      </c>
      <c r="N176" s="4">
        <v>25</v>
      </c>
      <c r="O176" s="11">
        <v>7.1</v>
      </c>
      <c r="P176" s="11">
        <v>17</v>
      </c>
      <c r="Q176" s="11">
        <v>7.2</v>
      </c>
      <c r="R176" s="11">
        <v>5</v>
      </c>
      <c r="S176" s="11">
        <v>6.3</v>
      </c>
      <c r="T176" s="11">
        <v>7.8</v>
      </c>
      <c r="U176" s="11">
        <v>12.3</v>
      </c>
      <c r="V176" s="5">
        <v>45973.383090277777</v>
      </c>
      <c r="W176" s="5">
        <v>45973.383229166669</v>
      </c>
      <c r="X176" s="6">
        <v>1.3888889225199819E-4</v>
      </c>
    </row>
    <row r="177" spans="1:24" x14ac:dyDescent="0.3">
      <c r="A177" s="2">
        <v>177</v>
      </c>
      <c r="B177" t="s">
        <v>270</v>
      </c>
      <c r="C177" t="s">
        <v>24</v>
      </c>
      <c r="D177" t="s">
        <v>80</v>
      </c>
      <c r="E177" t="s">
        <v>26</v>
      </c>
      <c r="F177" t="s">
        <v>48</v>
      </c>
      <c r="G177" s="11">
        <v>9.8000000000000007</v>
      </c>
      <c r="H177" s="11">
        <v>20.100000000000001</v>
      </c>
      <c r="I177" s="3" t="s">
        <v>54</v>
      </c>
      <c r="J177" s="11">
        <v>27</v>
      </c>
      <c r="K177" s="3" t="s">
        <v>54</v>
      </c>
      <c r="L177" s="11">
        <v>22.8</v>
      </c>
      <c r="M177" s="3" t="s">
        <v>252</v>
      </c>
      <c r="N177" s="4">
        <v>25</v>
      </c>
      <c r="O177" s="11">
        <v>55.2</v>
      </c>
      <c r="P177" s="3" t="s">
        <v>59</v>
      </c>
      <c r="Q177" s="3" t="s">
        <v>68</v>
      </c>
      <c r="R177" s="11">
        <v>3.2</v>
      </c>
      <c r="S177" s="3" t="s">
        <v>253</v>
      </c>
      <c r="T177" s="3" t="s">
        <v>254</v>
      </c>
      <c r="U177" s="3" t="s">
        <v>255</v>
      </c>
      <c r="V177" s="5">
        <v>45973.383333333331</v>
      </c>
      <c r="W177" s="5">
        <v>45973.383472222224</v>
      </c>
      <c r="X177" s="6">
        <v>1.3888889225199819E-4</v>
      </c>
    </row>
    <row r="178" spans="1:24" x14ac:dyDescent="0.3">
      <c r="A178" s="2">
        <v>178</v>
      </c>
      <c r="B178" t="s">
        <v>271</v>
      </c>
      <c r="C178" t="s">
        <v>24</v>
      </c>
      <c r="D178" t="s">
        <v>82</v>
      </c>
      <c r="E178" t="s">
        <v>26</v>
      </c>
      <c r="F178" t="s">
        <v>48</v>
      </c>
      <c r="G178" s="11">
        <v>11.3</v>
      </c>
      <c r="H178" s="3" t="s">
        <v>54</v>
      </c>
      <c r="I178" s="11">
        <v>2.5</v>
      </c>
      <c r="J178" s="11">
        <v>19.5</v>
      </c>
      <c r="K178" s="11">
        <v>19.600000000000001</v>
      </c>
      <c r="L178" s="11">
        <v>21.7</v>
      </c>
      <c r="M178" s="7">
        <v>13.72</v>
      </c>
      <c r="N178" s="4">
        <v>25</v>
      </c>
      <c r="O178" s="11">
        <v>30.3</v>
      </c>
      <c r="P178" s="3" t="s">
        <v>59</v>
      </c>
      <c r="Q178" s="3" t="s">
        <v>68</v>
      </c>
      <c r="R178" s="11">
        <v>6</v>
      </c>
      <c r="S178" s="11">
        <v>55.9</v>
      </c>
      <c r="T178" s="11">
        <v>60.5</v>
      </c>
      <c r="U178" s="11">
        <v>35.5</v>
      </c>
      <c r="V178" s="5">
        <v>45973.383564814816</v>
      </c>
      <c r="W178" s="5">
        <v>45973.383703703701</v>
      </c>
      <c r="X178" s="6">
        <v>1.3888889225199819E-4</v>
      </c>
    </row>
    <row r="179" spans="1:24" x14ac:dyDescent="0.3">
      <c r="A179" s="2">
        <v>179</v>
      </c>
      <c r="B179" t="s">
        <v>272</v>
      </c>
      <c r="C179" t="s">
        <v>24</v>
      </c>
      <c r="D179" t="s">
        <v>84</v>
      </c>
      <c r="E179" t="s">
        <v>26</v>
      </c>
      <c r="F179" t="s">
        <v>48</v>
      </c>
      <c r="G179" s="11">
        <v>9.5</v>
      </c>
      <c r="H179" s="11">
        <v>10.199999999999999</v>
      </c>
      <c r="I179" s="11">
        <v>2.1</v>
      </c>
      <c r="J179" s="11">
        <v>24.1</v>
      </c>
      <c r="K179" s="11">
        <v>23.4</v>
      </c>
      <c r="L179" s="11">
        <v>24.8</v>
      </c>
      <c r="M179" s="7">
        <v>9.7799999999999994</v>
      </c>
      <c r="N179" s="4">
        <v>25</v>
      </c>
      <c r="O179" s="11">
        <v>3.6</v>
      </c>
      <c r="P179" s="11">
        <v>50.1</v>
      </c>
      <c r="Q179" s="11">
        <v>9.6</v>
      </c>
      <c r="R179" s="11">
        <v>3</v>
      </c>
      <c r="S179" s="11">
        <v>4.2</v>
      </c>
      <c r="T179" s="11">
        <v>5.0999999999999996</v>
      </c>
      <c r="U179" s="11">
        <v>5</v>
      </c>
      <c r="V179" s="5">
        <v>45973.383796296293</v>
      </c>
      <c r="W179" s="5">
        <v>45973.383900462963</v>
      </c>
      <c r="X179" s="6">
        <v>1.0416665463708341E-4</v>
      </c>
    </row>
    <row r="180" spans="1:24" x14ac:dyDescent="0.3">
      <c r="A180" s="2">
        <v>180</v>
      </c>
      <c r="B180" t="s">
        <v>273</v>
      </c>
      <c r="C180" t="s">
        <v>24</v>
      </c>
      <c r="D180" t="s">
        <v>86</v>
      </c>
      <c r="E180" t="s">
        <v>26</v>
      </c>
      <c r="F180" t="s">
        <v>48</v>
      </c>
      <c r="G180" s="11">
        <v>12</v>
      </c>
      <c r="H180" s="11">
        <v>22.1</v>
      </c>
      <c r="I180" s="11">
        <v>1.3</v>
      </c>
      <c r="J180" s="11">
        <v>23.7</v>
      </c>
      <c r="K180" s="11">
        <v>10.9</v>
      </c>
      <c r="L180" s="11">
        <v>24.9</v>
      </c>
      <c r="M180" s="7">
        <v>9.7899999999999991</v>
      </c>
      <c r="N180" s="4">
        <v>25</v>
      </c>
      <c r="O180" s="11">
        <v>18.8</v>
      </c>
      <c r="P180" s="11">
        <v>38.299999999999997</v>
      </c>
      <c r="Q180" s="11">
        <v>20.5</v>
      </c>
      <c r="R180" s="11">
        <v>3.6</v>
      </c>
      <c r="S180" s="11">
        <v>19.600000000000001</v>
      </c>
      <c r="T180" s="11">
        <v>17.899999999999999</v>
      </c>
      <c r="U180" s="11">
        <v>22.1</v>
      </c>
      <c r="V180" s="5">
        <v>45973.383993055555</v>
      </c>
      <c r="W180" s="5">
        <v>45973.384120370371</v>
      </c>
      <c r="X180" s="6">
        <v>1.3888889225199819E-4</v>
      </c>
    </row>
    <row r="181" spans="1:24" x14ac:dyDescent="0.3">
      <c r="A181" s="2">
        <v>181</v>
      </c>
      <c r="B181" t="s">
        <v>274</v>
      </c>
      <c r="C181" t="s">
        <v>24</v>
      </c>
      <c r="D181" t="s">
        <v>88</v>
      </c>
      <c r="E181" t="s">
        <v>26</v>
      </c>
      <c r="F181" t="s">
        <v>48</v>
      </c>
      <c r="G181" s="11">
        <v>12.6</v>
      </c>
      <c r="H181" s="11">
        <v>25.9</v>
      </c>
      <c r="I181" s="11">
        <v>2.7</v>
      </c>
      <c r="J181" s="11">
        <v>15.3</v>
      </c>
      <c r="K181" s="3" t="s">
        <v>54</v>
      </c>
      <c r="L181" s="11">
        <v>14.9</v>
      </c>
      <c r="M181" s="7">
        <v>7.34</v>
      </c>
      <c r="N181" s="4">
        <v>25</v>
      </c>
      <c r="O181" s="11">
        <v>46.2</v>
      </c>
      <c r="P181" s="3" t="s">
        <v>59</v>
      </c>
      <c r="Q181" s="3" t="s">
        <v>68</v>
      </c>
      <c r="R181" s="11">
        <v>4.9000000000000004</v>
      </c>
      <c r="S181" s="11">
        <v>52</v>
      </c>
      <c r="T181" s="11">
        <v>32.4</v>
      </c>
      <c r="U181" s="3" t="s">
        <v>255</v>
      </c>
      <c r="V181" s="5">
        <v>45973.384236111109</v>
      </c>
      <c r="W181" s="5">
        <v>45973.384375000001</v>
      </c>
      <c r="X181" s="6">
        <v>1.3888889225199819E-4</v>
      </c>
    </row>
    <row r="182" spans="1:24" x14ac:dyDescent="0.3">
      <c r="A182" s="2">
        <v>182</v>
      </c>
      <c r="B182" t="s">
        <v>275</v>
      </c>
      <c r="C182" t="s">
        <v>24</v>
      </c>
      <c r="D182" t="s">
        <v>90</v>
      </c>
      <c r="E182" t="s">
        <v>26</v>
      </c>
      <c r="F182" t="s">
        <v>48</v>
      </c>
      <c r="G182" s="11">
        <v>12.8</v>
      </c>
      <c r="H182" s="11">
        <v>22.6</v>
      </c>
      <c r="I182" s="11">
        <v>1.1000000000000001</v>
      </c>
      <c r="J182" s="11">
        <v>20.9</v>
      </c>
      <c r="K182" s="11">
        <v>10.6</v>
      </c>
      <c r="L182" s="11">
        <v>20.9</v>
      </c>
      <c r="M182" s="7">
        <v>9.09</v>
      </c>
      <c r="N182" s="4">
        <v>25</v>
      </c>
      <c r="O182" s="11">
        <v>20.8</v>
      </c>
      <c r="P182" s="11">
        <v>35.6</v>
      </c>
      <c r="Q182" s="11">
        <v>22.6</v>
      </c>
      <c r="R182" s="11">
        <v>2.4</v>
      </c>
      <c r="S182" s="11">
        <v>21.4</v>
      </c>
      <c r="T182" s="11">
        <v>15.8</v>
      </c>
      <c r="U182" s="11">
        <v>28.9</v>
      </c>
      <c r="V182" s="5">
        <v>45973.384479166663</v>
      </c>
      <c r="W182" s="5">
        <v>45973.384687500002</v>
      </c>
      <c r="X182" s="6">
        <v>2.0833333837799728E-4</v>
      </c>
    </row>
    <row r="183" spans="1:24" x14ac:dyDescent="0.3">
      <c r="A183" s="2">
        <v>183</v>
      </c>
      <c r="B183" t="s">
        <v>276</v>
      </c>
      <c r="C183" t="s">
        <v>24</v>
      </c>
      <c r="D183" t="s">
        <v>92</v>
      </c>
      <c r="E183" t="s">
        <v>26</v>
      </c>
      <c r="F183" t="s">
        <v>48</v>
      </c>
      <c r="G183" s="11">
        <v>7.9</v>
      </c>
      <c r="H183" s="11">
        <v>17.899999999999999</v>
      </c>
      <c r="I183" s="11">
        <v>1.3</v>
      </c>
      <c r="J183" s="11">
        <v>25.7</v>
      </c>
      <c r="K183" s="11">
        <v>34.1</v>
      </c>
      <c r="L183" s="11">
        <v>29.9</v>
      </c>
      <c r="M183" s="7">
        <v>11.9</v>
      </c>
      <c r="N183" s="4">
        <v>25</v>
      </c>
      <c r="O183" s="11">
        <v>1.6</v>
      </c>
      <c r="P183" s="11">
        <v>10.7</v>
      </c>
      <c r="Q183" s="11">
        <v>2</v>
      </c>
      <c r="R183" s="11">
        <v>0.9</v>
      </c>
      <c r="S183" s="11">
        <v>2.9</v>
      </c>
      <c r="T183" s="11">
        <v>1.9</v>
      </c>
      <c r="U183" s="11">
        <v>2.4</v>
      </c>
      <c r="V183" s="5">
        <v>45973.384780092594</v>
      </c>
      <c r="W183" s="5">
        <v>45973.38490740741</v>
      </c>
      <c r="X183" s="6">
        <v>1.3888889225199819E-4</v>
      </c>
    </row>
    <row r="184" spans="1:24" x14ac:dyDescent="0.3">
      <c r="A184" s="2">
        <v>184</v>
      </c>
      <c r="B184" t="s">
        <v>277</v>
      </c>
      <c r="C184" t="s">
        <v>24</v>
      </c>
      <c r="D184" t="s">
        <v>94</v>
      </c>
      <c r="E184" t="s">
        <v>26</v>
      </c>
      <c r="F184" t="s">
        <v>48</v>
      </c>
      <c r="G184" s="11">
        <v>11.4</v>
      </c>
      <c r="H184" s="11">
        <v>16.899999999999999</v>
      </c>
      <c r="I184" s="11">
        <v>1.6</v>
      </c>
      <c r="J184" s="11">
        <v>22.3</v>
      </c>
      <c r="K184" s="11">
        <v>13.6</v>
      </c>
      <c r="L184" s="11">
        <v>22.7</v>
      </c>
      <c r="M184" s="7">
        <v>10.63</v>
      </c>
      <c r="N184" s="4">
        <v>25</v>
      </c>
      <c r="O184" s="11">
        <v>5</v>
      </c>
      <c r="P184" s="11">
        <v>27.3</v>
      </c>
      <c r="Q184" s="11">
        <v>9.3000000000000007</v>
      </c>
      <c r="R184" s="11">
        <v>2.7</v>
      </c>
      <c r="S184" s="11">
        <v>7.8</v>
      </c>
      <c r="T184" s="11">
        <v>8.8000000000000007</v>
      </c>
      <c r="U184" s="11">
        <v>6</v>
      </c>
      <c r="V184" s="5">
        <v>45973.385046296295</v>
      </c>
      <c r="W184" s="5">
        <v>45973.385185185187</v>
      </c>
      <c r="X184" s="6">
        <v>1.3888889225199819E-4</v>
      </c>
    </row>
    <row r="185" spans="1:24" x14ac:dyDescent="0.3">
      <c r="A185" s="2">
        <v>185</v>
      </c>
      <c r="B185" t="s">
        <v>278</v>
      </c>
      <c r="C185" t="s">
        <v>24</v>
      </c>
      <c r="D185" t="s">
        <v>96</v>
      </c>
      <c r="E185" t="s">
        <v>26</v>
      </c>
      <c r="F185" t="s">
        <v>48</v>
      </c>
      <c r="G185" s="11">
        <v>6.9</v>
      </c>
      <c r="H185" s="11">
        <v>8.5</v>
      </c>
      <c r="I185" s="11">
        <v>2.8</v>
      </c>
      <c r="J185" s="11">
        <v>22.4</v>
      </c>
      <c r="K185" s="11">
        <v>9.1999999999999993</v>
      </c>
      <c r="L185" s="11">
        <v>5.9</v>
      </c>
      <c r="M185" s="7">
        <v>7.91</v>
      </c>
      <c r="N185" s="4">
        <v>25</v>
      </c>
      <c r="O185" s="11">
        <v>34.4</v>
      </c>
      <c r="P185" s="3" t="s">
        <v>59</v>
      </c>
      <c r="Q185" s="3" t="s">
        <v>68</v>
      </c>
      <c r="R185" s="11">
        <v>9.9</v>
      </c>
      <c r="S185" s="3" t="s">
        <v>253</v>
      </c>
      <c r="T185" s="3" t="s">
        <v>254</v>
      </c>
      <c r="U185" s="3" t="s">
        <v>255</v>
      </c>
      <c r="V185" s="5">
        <v>45973.385289351849</v>
      </c>
      <c r="W185" s="5">
        <v>45973.385416666664</v>
      </c>
      <c r="X185" s="6">
        <v>1.2731482274830341E-4</v>
      </c>
    </row>
    <row r="186" spans="1:24" x14ac:dyDescent="0.3">
      <c r="A186" s="2">
        <v>186</v>
      </c>
      <c r="B186" t="s">
        <v>279</v>
      </c>
      <c r="C186" t="s">
        <v>24</v>
      </c>
      <c r="D186" t="s">
        <v>98</v>
      </c>
      <c r="E186" t="s">
        <v>26</v>
      </c>
      <c r="F186" t="s">
        <v>48</v>
      </c>
      <c r="G186" s="11">
        <v>8.4</v>
      </c>
      <c r="H186" s="11">
        <v>14.1</v>
      </c>
      <c r="I186" s="11">
        <v>1.5</v>
      </c>
      <c r="J186" s="11">
        <v>25.5</v>
      </c>
      <c r="K186" s="11">
        <v>46.6</v>
      </c>
      <c r="L186" s="11">
        <v>35</v>
      </c>
      <c r="M186" s="7">
        <v>12.73</v>
      </c>
      <c r="N186" s="4">
        <v>25</v>
      </c>
      <c r="O186" s="11">
        <v>1.9</v>
      </c>
      <c r="P186" s="11">
        <v>11</v>
      </c>
      <c r="Q186" s="11">
        <v>3.7</v>
      </c>
      <c r="R186" s="11">
        <v>0.6</v>
      </c>
      <c r="S186" s="11">
        <v>3.6</v>
      </c>
      <c r="T186" s="11">
        <v>4</v>
      </c>
      <c r="U186" s="11">
        <v>4.7</v>
      </c>
      <c r="V186" s="5">
        <v>45973.385520833333</v>
      </c>
      <c r="W186" s="5">
        <v>45973.385659722226</v>
      </c>
      <c r="X186" s="6">
        <v>1.3888889225199819E-4</v>
      </c>
    </row>
    <row r="187" spans="1:24" x14ac:dyDescent="0.3">
      <c r="A187" s="2">
        <v>187</v>
      </c>
      <c r="B187" t="s">
        <v>280</v>
      </c>
      <c r="C187" t="s">
        <v>24</v>
      </c>
      <c r="D187" t="s">
        <v>100</v>
      </c>
      <c r="E187" t="s">
        <v>26</v>
      </c>
      <c r="F187" t="s">
        <v>48</v>
      </c>
      <c r="G187" s="11">
        <v>5.0999999999999996</v>
      </c>
      <c r="H187" s="11">
        <v>16.7</v>
      </c>
      <c r="I187" s="3" t="s">
        <v>54</v>
      </c>
      <c r="J187" s="11">
        <v>22.8</v>
      </c>
      <c r="K187" s="11">
        <v>3.8</v>
      </c>
      <c r="L187" s="11">
        <v>19.5</v>
      </c>
      <c r="M187" s="7">
        <v>15.03</v>
      </c>
      <c r="N187" s="4">
        <v>25</v>
      </c>
      <c r="O187" s="11">
        <v>14.9</v>
      </c>
      <c r="P187" s="3" t="s">
        <v>59</v>
      </c>
      <c r="Q187" s="3" t="s">
        <v>68</v>
      </c>
      <c r="R187" s="11">
        <v>9</v>
      </c>
      <c r="S187" s="3" t="s">
        <v>253</v>
      </c>
      <c r="T187" s="3" t="s">
        <v>254</v>
      </c>
      <c r="U187" s="11">
        <v>16.7</v>
      </c>
      <c r="V187" s="5">
        <v>45973.385752314818</v>
      </c>
      <c r="W187" s="5">
        <v>45973.385891203703</v>
      </c>
      <c r="X187" s="6">
        <v>1.3888889225199819E-4</v>
      </c>
    </row>
    <row r="188" spans="1:24" x14ac:dyDescent="0.3">
      <c r="A188" s="2">
        <v>188</v>
      </c>
      <c r="B188" t="s">
        <v>281</v>
      </c>
      <c r="C188" t="s">
        <v>24</v>
      </c>
      <c r="D188" t="s">
        <v>102</v>
      </c>
      <c r="E188" t="s">
        <v>26</v>
      </c>
      <c r="F188" t="s">
        <v>48</v>
      </c>
      <c r="G188" s="11">
        <v>7.4</v>
      </c>
      <c r="H188" s="11">
        <v>29.5</v>
      </c>
      <c r="I188" s="11">
        <v>3.1</v>
      </c>
      <c r="J188" s="11">
        <v>15.4</v>
      </c>
      <c r="K188" s="3" t="s">
        <v>54</v>
      </c>
      <c r="L188" s="11">
        <v>4.9000000000000004</v>
      </c>
      <c r="M188" s="7">
        <v>7.15</v>
      </c>
      <c r="N188" s="4">
        <v>25</v>
      </c>
      <c r="O188" s="11">
        <v>39.700000000000003</v>
      </c>
      <c r="P188" s="3" t="s">
        <v>59</v>
      </c>
      <c r="Q188" s="3" t="s">
        <v>68</v>
      </c>
      <c r="R188" s="11">
        <v>8.6999999999999993</v>
      </c>
      <c r="S188" s="3" t="s">
        <v>253</v>
      </c>
      <c r="T188" s="3" t="s">
        <v>254</v>
      </c>
      <c r="U188" s="3" t="s">
        <v>255</v>
      </c>
      <c r="V188" s="5">
        <v>45973.385983796295</v>
      </c>
      <c r="W188" s="5">
        <v>45973.386111111111</v>
      </c>
      <c r="X188" s="6">
        <v>1.2731482274830341E-4</v>
      </c>
    </row>
    <row r="189" spans="1:24" x14ac:dyDescent="0.3">
      <c r="A189" s="2">
        <v>189</v>
      </c>
      <c r="B189" t="s">
        <v>282</v>
      </c>
      <c r="C189" t="s">
        <v>24</v>
      </c>
      <c r="D189" t="s">
        <v>104</v>
      </c>
      <c r="E189" t="s">
        <v>26</v>
      </c>
      <c r="F189" t="s">
        <v>48</v>
      </c>
      <c r="G189" s="11">
        <v>9.4</v>
      </c>
      <c r="H189" s="11">
        <v>22.8</v>
      </c>
      <c r="I189" s="11">
        <v>1.7</v>
      </c>
      <c r="J189" s="11">
        <v>20.5</v>
      </c>
      <c r="K189" s="11">
        <v>10.4</v>
      </c>
      <c r="L189" s="11">
        <v>20.9</v>
      </c>
      <c r="M189" s="7">
        <v>5.09</v>
      </c>
      <c r="N189" s="4">
        <v>25</v>
      </c>
      <c r="O189" s="11">
        <v>23.1</v>
      </c>
      <c r="P189" s="3" t="s">
        <v>59</v>
      </c>
      <c r="Q189" s="11">
        <v>22.6</v>
      </c>
      <c r="R189" s="11">
        <v>8.1999999999999993</v>
      </c>
      <c r="S189" s="3" t="s">
        <v>253</v>
      </c>
      <c r="T189" s="11">
        <v>54.2</v>
      </c>
      <c r="U189" s="3" t="s">
        <v>255</v>
      </c>
      <c r="V189" s="5">
        <v>45973.38621527778</v>
      </c>
      <c r="W189" s="5">
        <v>45973.386354166665</v>
      </c>
      <c r="X189" s="6">
        <v>1.3888889225199819E-4</v>
      </c>
    </row>
    <row r="190" spans="1:24" x14ac:dyDescent="0.3">
      <c r="A190" s="2">
        <v>190</v>
      </c>
      <c r="B190" t="s">
        <v>283</v>
      </c>
      <c r="C190" t="s">
        <v>24</v>
      </c>
      <c r="D190" t="s">
        <v>106</v>
      </c>
      <c r="E190" t="s">
        <v>26</v>
      </c>
      <c r="F190" t="s">
        <v>48</v>
      </c>
      <c r="G190" s="11">
        <v>11.8</v>
      </c>
      <c r="H190" s="11">
        <v>17.5</v>
      </c>
      <c r="I190" s="11">
        <v>1.9</v>
      </c>
      <c r="J190" s="11">
        <v>17.399999999999999</v>
      </c>
      <c r="K190" s="11">
        <v>20.6</v>
      </c>
      <c r="L190" s="11">
        <v>22.1</v>
      </c>
      <c r="M190" s="7">
        <v>10.5</v>
      </c>
      <c r="N190" s="4">
        <v>25</v>
      </c>
      <c r="O190" s="11">
        <v>10.1</v>
      </c>
      <c r="P190" s="11">
        <v>22.1</v>
      </c>
      <c r="Q190" s="11">
        <v>7.2</v>
      </c>
      <c r="R190" s="11">
        <v>4.8</v>
      </c>
      <c r="S190" s="11">
        <v>7.5</v>
      </c>
      <c r="T190" s="11">
        <v>9.1</v>
      </c>
      <c r="U190" s="11">
        <v>16.600000000000001</v>
      </c>
      <c r="V190" s="5">
        <v>45973.386446759258</v>
      </c>
      <c r="W190" s="5">
        <v>45973.38658564815</v>
      </c>
      <c r="X190" s="6">
        <v>1.2731482274830341E-4</v>
      </c>
    </row>
    <row r="191" spans="1:24" x14ac:dyDescent="0.3">
      <c r="A191" s="2">
        <v>191</v>
      </c>
      <c r="B191" t="s">
        <v>284</v>
      </c>
      <c r="C191" t="s">
        <v>24</v>
      </c>
      <c r="D191" t="s">
        <v>108</v>
      </c>
      <c r="E191" t="s">
        <v>26</v>
      </c>
      <c r="F191" t="s">
        <v>48</v>
      </c>
      <c r="G191" s="11">
        <v>8.5</v>
      </c>
      <c r="H191" s="11">
        <v>8.6999999999999993</v>
      </c>
      <c r="I191" s="11">
        <v>1.3</v>
      </c>
      <c r="J191" s="11">
        <v>26.8</v>
      </c>
      <c r="K191" s="11">
        <v>42.3</v>
      </c>
      <c r="L191" s="11">
        <v>32.9</v>
      </c>
      <c r="M191" s="7">
        <v>10.61</v>
      </c>
      <c r="N191" s="4">
        <v>25</v>
      </c>
      <c r="O191" s="11">
        <v>1.1000000000000001</v>
      </c>
      <c r="P191" s="11">
        <v>6.1</v>
      </c>
      <c r="Q191" s="11">
        <v>2.1</v>
      </c>
      <c r="R191" s="11">
        <v>0.4</v>
      </c>
      <c r="S191" s="11">
        <v>1.9</v>
      </c>
      <c r="T191" s="11">
        <v>1.4</v>
      </c>
      <c r="U191" s="11">
        <v>1.9</v>
      </c>
      <c r="V191" s="5">
        <v>45973.386689814812</v>
      </c>
      <c r="W191" s="5">
        <v>45973.386828703704</v>
      </c>
      <c r="X191" s="6">
        <v>1.3888889225199819E-4</v>
      </c>
    </row>
    <row r="192" spans="1:24" x14ac:dyDescent="0.3">
      <c r="A192" s="2">
        <v>192</v>
      </c>
      <c r="B192" t="s">
        <v>285</v>
      </c>
      <c r="C192" t="s">
        <v>24</v>
      </c>
      <c r="D192" t="s">
        <v>100</v>
      </c>
      <c r="E192" t="s">
        <v>286</v>
      </c>
      <c r="F192" t="s">
        <v>48</v>
      </c>
      <c r="G192" s="11">
        <v>8.3000000000000007</v>
      </c>
      <c r="H192" s="11">
        <v>13.8</v>
      </c>
      <c r="I192" s="11">
        <v>1.7</v>
      </c>
      <c r="J192" s="11">
        <v>28.7</v>
      </c>
      <c r="K192" s="11">
        <v>24.5</v>
      </c>
      <c r="L192" s="11">
        <v>37.6</v>
      </c>
      <c r="M192" s="7">
        <v>6.16</v>
      </c>
      <c r="N192" s="4">
        <v>25</v>
      </c>
      <c r="O192" s="11">
        <v>8.1</v>
      </c>
      <c r="P192" s="3" t="s">
        <v>59</v>
      </c>
      <c r="Q192" s="11">
        <v>21.6</v>
      </c>
      <c r="R192" s="11">
        <v>2.4</v>
      </c>
      <c r="S192" s="11">
        <v>12.6</v>
      </c>
      <c r="T192" s="11">
        <v>43.7</v>
      </c>
      <c r="U192" s="11">
        <v>57.7</v>
      </c>
      <c r="V192" s="5">
        <v>45973.401134259257</v>
      </c>
      <c r="W192" s="5">
        <v>45973.401620370372</v>
      </c>
      <c r="X192" s="6">
        <v>4.8611112288199365E-4</v>
      </c>
    </row>
    <row r="193" spans="1:24" x14ac:dyDescent="0.3">
      <c r="A193" s="2">
        <v>193</v>
      </c>
      <c r="B193" t="s">
        <v>287</v>
      </c>
      <c r="C193" t="s">
        <v>24</v>
      </c>
      <c r="D193" t="s">
        <v>102</v>
      </c>
      <c r="E193" t="s">
        <v>286</v>
      </c>
      <c r="F193" t="s">
        <v>48</v>
      </c>
      <c r="G193" s="11">
        <v>10.4</v>
      </c>
      <c r="H193" s="11">
        <v>20.8</v>
      </c>
      <c r="I193" s="11">
        <v>3</v>
      </c>
      <c r="J193" s="11">
        <v>13.4</v>
      </c>
      <c r="K193" s="11">
        <v>36</v>
      </c>
      <c r="L193" s="11">
        <v>8.1999999999999993</v>
      </c>
      <c r="M193" s="7">
        <v>4.59</v>
      </c>
      <c r="N193" s="4">
        <v>25</v>
      </c>
      <c r="O193" s="11">
        <v>13.3</v>
      </c>
      <c r="P193" s="3" t="s">
        <v>59</v>
      </c>
      <c r="Q193" s="3" t="s">
        <v>68</v>
      </c>
      <c r="R193" s="11">
        <v>10.5</v>
      </c>
      <c r="S193" s="3" t="s">
        <v>253</v>
      </c>
      <c r="T193" s="11">
        <v>46.5</v>
      </c>
      <c r="U193" s="3" t="s">
        <v>255</v>
      </c>
      <c r="V193" s="5">
        <v>45973.401724537034</v>
      </c>
      <c r="W193" s="5">
        <v>45973.40185185185</v>
      </c>
      <c r="X193" s="6">
        <v>1.3888889225199819E-4</v>
      </c>
    </row>
    <row r="194" spans="1:24" x14ac:dyDescent="0.3">
      <c r="A194" s="2">
        <v>194</v>
      </c>
      <c r="B194" t="s">
        <v>288</v>
      </c>
      <c r="C194" t="s">
        <v>24</v>
      </c>
      <c r="D194" t="s">
        <v>104</v>
      </c>
      <c r="E194" t="s">
        <v>286</v>
      </c>
      <c r="F194" t="s">
        <v>48</v>
      </c>
      <c r="G194" s="11">
        <v>7.8</v>
      </c>
      <c r="H194" s="11">
        <v>13.1</v>
      </c>
      <c r="I194" s="11">
        <v>3.5</v>
      </c>
      <c r="J194" s="11">
        <v>23.5</v>
      </c>
      <c r="K194" s="11">
        <v>23</v>
      </c>
      <c r="L194" s="11">
        <v>27.5</v>
      </c>
      <c r="M194" s="7">
        <v>4.7</v>
      </c>
      <c r="N194" s="4">
        <v>25</v>
      </c>
      <c r="O194" s="11">
        <v>16.7</v>
      </c>
      <c r="P194" s="3" t="s">
        <v>59</v>
      </c>
      <c r="Q194" s="3" t="s">
        <v>68</v>
      </c>
      <c r="R194" s="11">
        <v>7.8</v>
      </c>
      <c r="S194" s="11">
        <v>44.1</v>
      </c>
      <c r="T194" s="11">
        <v>31.6</v>
      </c>
      <c r="U194" s="3" t="s">
        <v>255</v>
      </c>
      <c r="V194" s="5">
        <v>45973.401956018519</v>
      </c>
      <c r="W194" s="5">
        <v>45973.402094907404</v>
      </c>
      <c r="X194" s="6">
        <v>1.3888889225199819E-4</v>
      </c>
    </row>
    <row r="195" spans="1:24" x14ac:dyDescent="0.3">
      <c r="A195" s="2">
        <v>195</v>
      </c>
      <c r="B195" t="s">
        <v>289</v>
      </c>
      <c r="C195" t="s">
        <v>24</v>
      </c>
      <c r="D195" t="s">
        <v>106</v>
      </c>
      <c r="E195" t="s">
        <v>286</v>
      </c>
      <c r="F195" t="s">
        <v>48</v>
      </c>
      <c r="G195" s="11">
        <v>11.8</v>
      </c>
      <c r="H195" s="11">
        <v>16.899999999999999</v>
      </c>
      <c r="I195" s="11">
        <v>2</v>
      </c>
      <c r="J195" s="11">
        <v>17.7</v>
      </c>
      <c r="K195" s="11">
        <v>21.7</v>
      </c>
      <c r="L195" s="11">
        <v>22.7</v>
      </c>
      <c r="M195" s="7">
        <v>10.34</v>
      </c>
      <c r="N195" s="4">
        <v>25</v>
      </c>
      <c r="O195" s="11">
        <v>10</v>
      </c>
      <c r="P195" s="11">
        <v>21.6</v>
      </c>
      <c r="Q195" s="11">
        <v>7.2</v>
      </c>
      <c r="R195" s="11">
        <v>4.5999999999999996</v>
      </c>
      <c r="S195" s="11">
        <v>7.2</v>
      </c>
      <c r="T195" s="11">
        <v>8.9</v>
      </c>
      <c r="U195" s="11">
        <v>16.100000000000001</v>
      </c>
      <c r="V195" s="5">
        <v>45973.402233796296</v>
      </c>
      <c r="W195" s="5">
        <v>45973.402442129627</v>
      </c>
      <c r="X195" s="6">
        <v>2.0833333837799728E-4</v>
      </c>
    </row>
    <row r="196" spans="1:24" x14ac:dyDescent="0.3">
      <c r="A196" s="2">
        <v>196</v>
      </c>
      <c r="B196" t="s">
        <v>290</v>
      </c>
      <c r="C196" t="s">
        <v>24</v>
      </c>
      <c r="D196" t="s">
        <v>108</v>
      </c>
      <c r="E196" t="s">
        <v>286</v>
      </c>
      <c r="F196" t="s">
        <v>48</v>
      </c>
      <c r="G196" s="11">
        <v>7.5</v>
      </c>
      <c r="H196" s="3" t="s">
        <v>54</v>
      </c>
      <c r="I196" s="11">
        <v>1.9</v>
      </c>
      <c r="J196" s="11">
        <v>28.8</v>
      </c>
      <c r="K196" s="11">
        <v>29.9</v>
      </c>
      <c r="L196" s="11">
        <v>31</v>
      </c>
      <c r="M196" s="7">
        <v>8.9</v>
      </c>
      <c r="N196" s="4">
        <v>25</v>
      </c>
      <c r="O196" s="11">
        <v>6.3</v>
      </c>
      <c r="P196" s="3" t="s">
        <v>59</v>
      </c>
      <c r="Q196" s="11">
        <v>23.3</v>
      </c>
      <c r="R196" s="11">
        <v>2.5</v>
      </c>
      <c r="S196" s="11">
        <v>29.1</v>
      </c>
      <c r="T196" s="11">
        <v>26.2</v>
      </c>
      <c r="U196" s="11">
        <v>15.4</v>
      </c>
      <c r="V196" s="5">
        <v>45973.402557870373</v>
      </c>
      <c r="W196" s="5">
        <v>45973.402696759258</v>
      </c>
      <c r="X196" s="6">
        <v>1.3888889225199819E-4</v>
      </c>
    </row>
    <row r="197" spans="1:24" x14ac:dyDescent="0.3">
      <c r="A197" s="2">
        <v>197</v>
      </c>
      <c r="B197" t="s">
        <v>291</v>
      </c>
      <c r="C197" t="s">
        <v>24</v>
      </c>
      <c r="D197" t="s">
        <v>100</v>
      </c>
      <c r="E197" t="s">
        <v>26</v>
      </c>
      <c r="F197" t="s">
        <v>48</v>
      </c>
      <c r="G197" s="11">
        <v>8.3000000000000007</v>
      </c>
      <c r="H197" s="11">
        <v>9</v>
      </c>
      <c r="I197" s="11">
        <v>1.8</v>
      </c>
      <c r="J197" s="11">
        <v>27.2</v>
      </c>
      <c r="K197" s="11">
        <v>11.4</v>
      </c>
      <c r="L197" s="11">
        <v>26.6</v>
      </c>
      <c r="M197" s="7">
        <v>6.29</v>
      </c>
      <c r="N197" s="4">
        <v>25</v>
      </c>
      <c r="O197" s="11">
        <v>4.9000000000000004</v>
      </c>
      <c r="P197" s="11">
        <v>47.9</v>
      </c>
      <c r="Q197" s="11">
        <v>20.8</v>
      </c>
      <c r="R197" s="11">
        <v>3.5</v>
      </c>
      <c r="S197" s="11">
        <v>61.2</v>
      </c>
      <c r="T197" s="11">
        <v>34.9</v>
      </c>
      <c r="U197" s="11">
        <v>37.9</v>
      </c>
      <c r="V197" s="5">
        <v>45973.416863425926</v>
      </c>
      <c r="W197" s="5">
        <v>45973.417071759257</v>
      </c>
      <c r="X197" s="6">
        <v>2.0833333837799728E-4</v>
      </c>
    </row>
    <row r="198" spans="1:24" x14ac:dyDescent="0.3">
      <c r="A198" s="2">
        <v>198</v>
      </c>
      <c r="B198" t="s">
        <v>292</v>
      </c>
      <c r="C198" t="s">
        <v>24</v>
      </c>
      <c r="D198" t="s">
        <v>102</v>
      </c>
      <c r="E198" t="s">
        <v>26</v>
      </c>
      <c r="F198" t="s">
        <v>48</v>
      </c>
      <c r="G198" s="11">
        <v>11.8</v>
      </c>
      <c r="H198" s="11">
        <v>41.8</v>
      </c>
      <c r="I198" s="11">
        <v>0.5</v>
      </c>
      <c r="J198" s="11">
        <v>10.7</v>
      </c>
      <c r="K198" s="3" t="s">
        <v>54</v>
      </c>
      <c r="L198" s="11">
        <v>2.7</v>
      </c>
      <c r="M198" s="7">
        <v>8.0299999999999994</v>
      </c>
      <c r="N198" s="4">
        <v>25</v>
      </c>
      <c r="O198" s="11">
        <v>15.5</v>
      </c>
      <c r="P198" s="3" t="s">
        <v>59</v>
      </c>
      <c r="Q198" s="3" t="s">
        <v>68</v>
      </c>
      <c r="R198" s="11">
        <v>15.9</v>
      </c>
      <c r="S198" s="3" t="s">
        <v>253</v>
      </c>
      <c r="T198" s="11">
        <v>71.900000000000006</v>
      </c>
      <c r="U198" s="11">
        <v>49.8</v>
      </c>
      <c r="V198" s="5">
        <v>45973.417175925926</v>
      </c>
      <c r="W198" s="5">
        <v>45973.417314814818</v>
      </c>
      <c r="X198" s="6">
        <v>1.2731482274830341E-4</v>
      </c>
    </row>
    <row r="199" spans="1:24" x14ac:dyDescent="0.3">
      <c r="A199" s="2">
        <v>199</v>
      </c>
      <c r="B199" t="s">
        <v>293</v>
      </c>
      <c r="C199" t="s">
        <v>24</v>
      </c>
      <c r="D199" t="s">
        <v>104</v>
      </c>
      <c r="E199" t="s">
        <v>26</v>
      </c>
      <c r="F199" t="s">
        <v>48</v>
      </c>
      <c r="G199" s="11">
        <v>12.1</v>
      </c>
      <c r="H199" s="11">
        <v>14.5</v>
      </c>
      <c r="I199" s="11">
        <v>1.3</v>
      </c>
      <c r="J199" s="11">
        <v>15.5</v>
      </c>
      <c r="K199" s="3" t="s">
        <v>54</v>
      </c>
      <c r="L199" s="11">
        <v>11</v>
      </c>
      <c r="M199" s="7">
        <v>7.05</v>
      </c>
      <c r="N199" s="4">
        <v>25</v>
      </c>
      <c r="O199" s="11">
        <v>12.6</v>
      </c>
      <c r="P199" s="3" t="s">
        <v>59</v>
      </c>
      <c r="Q199" s="11">
        <v>19.399999999999999</v>
      </c>
      <c r="R199" s="11">
        <v>12.6</v>
      </c>
      <c r="S199" s="11">
        <v>56.3</v>
      </c>
      <c r="T199" s="11">
        <v>87</v>
      </c>
      <c r="U199" s="11">
        <v>29</v>
      </c>
      <c r="V199" s="5">
        <v>45973.417442129627</v>
      </c>
      <c r="W199" s="5">
        <v>45973.417569444442</v>
      </c>
      <c r="X199" s="6">
        <v>1.2731482274830341E-4</v>
      </c>
    </row>
    <row r="200" spans="1:24" x14ac:dyDescent="0.3">
      <c r="A200" s="2">
        <v>200</v>
      </c>
      <c r="B200" t="s">
        <v>294</v>
      </c>
      <c r="C200" t="s">
        <v>24</v>
      </c>
      <c r="D200" t="s">
        <v>106</v>
      </c>
      <c r="E200" t="s">
        <v>26</v>
      </c>
      <c r="F200" t="s">
        <v>48</v>
      </c>
      <c r="G200" s="11">
        <v>8.1</v>
      </c>
      <c r="H200" s="11">
        <v>37.299999999999997</v>
      </c>
      <c r="I200" s="3" t="s">
        <v>54</v>
      </c>
      <c r="J200" s="11">
        <v>20.5</v>
      </c>
      <c r="K200" s="3" t="s">
        <v>54</v>
      </c>
      <c r="L200" s="11">
        <v>9.5</v>
      </c>
      <c r="M200" s="7">
        <v>9.43</v>
      </c>
      <c r="N200" s="4">
        <v>25</v>
      </c>
      <c r="O200" s="11">
        <v>28.5</v>
      </c>
      <c r="P200" s="3" t="s">
        <v>59</v>
      </c>
      <c r="Q200" s="3" t="s">
        <v>68</v>
      </c>
      <c r="R200" s="11">
        <v>6.2</v>
      </c>
      <c r="S200" s="3" t="s">
        <v>253</v>
      </c>
      <c r="T200" s="11">
        <v>50.2</v>
      </c>
      <c r="U200" s="11">
        <v>24.8</v>
      </c>
      <c r="V200" s="5">
        <v>45973.417662037034</v>
      </c>
      <c r="W200" s="5">
        <v>45973.417800925927</v>
      </c>
      <c r="X200" s="6">
        <v>1.2731482274830341E-4</v>
      </c>
    </row>
    <row r="201" spans="1:24" x14ac:dyDescent="0.3">
      <c r="A201" s="2">
        <v>201</v>
      </c>
      <c r="B201" t="s">
        <v>295</v>
      </c>
      <c r="C201" t="s">
        <v>24</v>
      </c>
      <c r="D201" t="s">
        <v>108</v>
      </c>
      <c r="E201" t="s">
        <v>26</v>
      </c>
      <c r="F201" t="s">
        <v>48</v>
      </c>
      <c r="G201" s="11">
        <v>8.5</v>
      </c>
      <c r="H201" s="11">
        <v>7</v>
      </c>
      <c r="I201" s="11">
        <v>1.2</v>
      </c>
      <c r="J201" s="11">
        <v>27.3</v>
      </c>
      <c r="K201" s="11">
        <v>41.4</v>
      </c>
      <c r="L201" s="11">
        <v>32.799999999999997</v>
      </c>
      <c r="M201" s="7">
        <v>10.43</v>
      </c>
      <c r="N201" s="4">
        <v>25</v>
      </c>
      <c r="O201" s="11">
        <v>1</v>
      </c>
      <c r="P201" s="11">
        <v>6.5</v>
      </c>
      <c r="Q201" s="11">
        <v>1.7</v>
      </c>
      <c r="R201" s="11">
        <v>0.4</v>
      </c>
      <c r="S201" s="11">
        <v>1.4</v>
      </c>
      <c r="T201" s="11">
        <v>1.2</v>
      </c>
      <c r="U201" s="11">
        <v>2.8</v>
      </c>
      <c r="V201" s="5">
        <v>45973.417916666665</v>
      </c>
      <c r="W201" s="5">
        <v>45973.418055555558</v>
      </c>
      <c r="X201" s="6">
        <v>1.3888889225199819E-4</v>
      </c>
    </row>
    <row r="202" spans="1:24" x14ac:dyDescent="0.3">
      <c r="A202" s="2">
        <v>202</v>
      </c>
      <c r="B202" t="s">
        <v>296</v>
      </c>
      <c r="C202" t="s">
        <v>24</v>
      </c>
      <c r="D202" t="s">
        <v>100</v>
      </c>
      <c r="E202" t="s">
        <v>297</v>
      </c>
      <c r="F202" t="s">
        <v>48</v>
      </c>
      <c r="G202" s="11">
        <v>9</v>
      </c>
      <c r="H202" s="11">
        <v>12.1</v>
      </c>
      <c r="I202" s="11">
        <v>1.2</v>
      </c>
      <c r="J202" s="11">
        <v>28.3</v>
      </c>
      <c r="K202" s="11">
        <v>38</v>
      </c>
      <c r="L202" s="11">
        <v>35.1</v>
      </c>
      <c r="M202" s="7">
        <v>8.11</v>
      </c>
      <c r="N202" s="4">
        <v>25</v>
      </c>
      <c r="O202" s="11">
        <v>2</v>
      </c>
      <c r="P202" s="11">
        <v>12.2</v>
      </c>
      <c r="Q202" s="11">
        <v>3.2</v>
      </c>
      <c r="R202" s="11">
        <v>0.7</v>
      </c>
      <c r="S202" s="11">
        <v>3.9</v>
      </c>
      <c r="T202" s="11">
        <v>3.6</v>
      </c>
      <c r="U202" s="11">
        <v>2.9</v>
      </c>
      <c r="V202" s="5">
        <v>45973.437662037039</v>
      </c>
      <c r="W202" s="5">
        <v>45973.437916666669</v>
      </c>
      <c r="X202" s="6">
        <v>2.5462961639277637E-4</v>
      </c>
    </row>
    <row r="203" spans="1:24" x14ac:dyDescent="0.3">
      <c r="A203" s="2">
        <v>203</v>
      </c>
      <c r="B203" t="s">
        <v>298</v>
      </c>
      <c r="C203" t="s">
        <v>24</v>
      </c>
      <c r="D203" t="s">
        <v>102</v>
      </c>
      <c r="E203" t="s">
        <v>26</v>
      </c>
      <c r="F203" t="s">
        <v>48</v>
      </c>
      <c r="G203" s="11">
        <v>10.7</v>
      </c>
      <c r="H203" s="11">
        <v>6.3</v>
      </c>
      <c r="I203" s="11">
        <v>3.5</v>
      </c>
      <c r="J203" s="11">
        <v>14.2</v>
      </c>
      <c r="K203" s="11">
        <v>40.9</v>
      </c>
      <c r="L203" s="11">
        <v>22.9</v>
      </c>
      <c r="M203" s="7">
        <v>6.06</v>
      </c>
      <c r="N203" s="4">
        <v>25</v>
      </c>
      <c r="O203" s="11">
        <v>16.899999999999999</v>
      </c>
      <c r="P203" s="3" t="s">
        <v>59</v>
      </c>
      <c r="Q203" s="3" t="s">
        <v>68</v>
      </c>
      <c r="R203" s="11">
        <v>10.6</v>
      </c>
      <c r="S203" s="11">
        <v>40.4</v>
      </c>
      <c r="T203" s="11">
        <v>87.2</v>
      </c>
      <c r="U203" s="3" t="s">
        <v>255</v>
      </c>
      <c r="V203" s="5">
        <v>45973.438125000001</v>
      </c>
      <c r="W203" s="5">
        <v>45973.438252314816</v>
      </c>
      <c r="X203" s="6">
        <v>1.3888889225199819E-4</v>
      </c>
    </row>
    <row r="204" spans="1:24" x14ac:dyDescent="0.3">
      <c r="A204" s="2">
        <v>204</v>
      </c>
      <c r="B204" t="s">
        <v>299</v>
      </c>
      <c r="C204" t="s">
        <v>24</v>
      </c>
      <c r="D204" t="s">
        <v>104</v>
      </c>
      <c r="E204" t="s">
        <v>26</v>
      </c>
      <c r="F204" t="s">
        <v>48</v>
      </c>
      <c r="G204" s="11">
        <v>11.3</v>
      </c>
      <c r="H204" s="11">
        <v>13.9</v>
      </c>
      <c r="I204" s="11">
        <v>1.8</v>
      </c>
      <c r="J204" s="11">
        <v>18</v>
      </c>
      <c r="K204" s="11">
        <v>16.899999999999999</v>
      </c>
      <c r="L204" s="11">
        <v>21.1</v>
      </c>
      <c r="M204" s="7">
        <v>9.25</v>
      </c>
      <c r="N204" s="4">
        <v>25</v>
      </c>
      <c r="O204" s="11">
        <v>5.9</v>
      </c>
      <c r="P204" s="11">
        <v>18.899999999999999</v>
      </c>
      <c r="Q204" s="11">
        <v>4.8</v>
      </c>
      <c r="R204" s="11">
        <v>5.5</v>
      </c>
      <c r="S204" s="11">
        <v>6.8</v>
      </c>
      <c r="T204" s="11">
        <v>6.6</v>
      </c>
      <c r="U204" s="11">
        <v>9.5</v>
      </c>
      <c r="V204" s="5">
        <v>45973.438356481478</v>
      </c>
      <c r="W204" s="5">
        <v>45973.438483796293</v>
      </c>
      <c r="X204" s="6">
        <v>1.3888889225199819E-4</v>
      </c>
    </row>
    <row r="205" spans="1:24" x14ac:dyDescent="0.3">
      <c r="A205" s="2">
        <v>205</v>
      </c>
      <c r="B205" t="s">
        <v>300</v>
      </c>
      <c r="C205" t="s">
        <v>24</v>
      </c>
      <c r="D205" t="s">
        <v>106</v>
      </c>
      <c r="E205" t="s">
        <v>26</v>
      </c>
      <c r="F205" t="s">
        <v>48</v>
      </c>
      <c r="G205" s="11">
        <v>12.1</v>
      </c>
      <c r="H205" s="11">
        <v>16.3</v>
      </c>
      <c r="I205" s="11">
        <v>1.9</v>
      </c>
      <c r="J205" s="11">
        <v>17.600000000000001</v>
      </c>
      <c r="K205" s="11">
        <v>21.5</v>
      </c>
      <c r="L205" s="11">
        <v>23</v>
      </c>
      <c r="M205" s="7">
        <v>9.3699999999999992</v>
      </c>
      <c r="N205" s="4">
        <v>25</v>
      </c>
      <c r="O205" s="11">
        <v>12</v>
      </c>
      <c r="P205" s="11">
        <v>23.8</v>
      </c>
      <c r="Q205" s="11">
        <v>7.9</v>
      </c>
      <c r="R205" s="11">
        <v>5</v>
      </c>
      <c r="S205" s="11">
        <v>8.1</v>
      </c>
      <c r="T205" s="11">
        <v>10</v>
      </c>
      <c r="U205" s="11">
        <v>18.2</v>
      </c>
      <c r="V205" s="5">
        <v>45973.438657407409</v>
      </c>
      <c r="W205" s="5">
        <v>45973.438750000001</v>
      </c>
      <c r="X205" s="6">
        <v>9.2592585133388638E-5</v>
      </c>
    </row>
    <row r="206" spans="1:24" x14ac:dyDescent="0.3">
      <c r="A206" s="2">
        <v>206</v>
      </c>
      <c r="B206" t="s">
        <v>301</v>
      </c>
      <c r="C206" t="s">
        <v>24</v>
      </c>
      <c r="D206" t="s">
        <v>108</v>
      </c>
      <c r="E206" t="s">
        <v>26</v>
      </c>
      <c r="F206" t="s">
        <v>48</v>
      </c>
      <c r="G206" s="11">
        <v>9</v>
      </c>
      <c r="H206" s="11">
        <v>6.1</v>
      </c>
      <c r="I206" s="11">
        <v>1.3</v>
      </c>
      <c r="J206" s="11">
        <v>27.4</v>
      </c>
      <c r="K206" s="11">
        <v>43.8</v>
      </c>
      <c r="L206" s="11">
        <v>34.9</v>
      </c>
      <c r="M206" s="7">
        <v>8.84</v>
      </c>
      <c r="N206" s="4">
        <v>25</v>
      </c>
      <c r="O206" s="11">
        <v>1.5</v>
      </c>
      <c r="P206" s="11">
        <v>5.8</v>
      </c>
      <c r="Q206" s="11">
        <v>2.5</v>
      </c>
      <c r="R206" s="11">
        <v>0.3</v>
      </c>
      <c r="S206" s="11">
        <v>2.5</v>
      </c>
      <c r="T206" s="11">
        <v>1.8</v>
      </c>
      <c r="U206" s="11">
        <v>2</v>
      </c>
      <c r="V206" s="5">
        <v>45973.438923611109</v>
      </c>
      <c r="W206" s="5">
        <v>45973.439062500001</v>
      </c>
      <c r="X206" s="6">
        <v>1.3888889225199819E-4</v>
      </c>
    </row>
    <row r="207" spans="1:24" x14ac:dyDescent="0.3">
      <c r="A207" s="2">
        <v>207</v>
      </c>
      <c r="B207" t="s">
        <v>302</v>
      </c>
      <c r="C207" t="s">
        <v>24</v>
      </c>
      <c r="D207" t="s">
        <v>100</v>
      </c>
      <c r="E207" t="s">
        <v>26</v>
      </c>
      <c r="F207" t="s">
        <v>48</v>
      </c>
      <c r="G207" s="11">
        <v>9.3000000000000007</v>
      </c>
      <c r="H207" s="11">
        <v>13.2</v>
      </c>
      <c r="I207" s="11">
        <v>1</v>
      </c>
      <c r="J207" s="11">
        <v>27.2</v>
      </c>
      <c r="K207" s="11">
        <v>36.299999999999997</v>
      </c>
      <c r="L207" s="11">
        <v>33</v>
      </c>
      <c r="M207" s="7">
        <v>8.67</v>
      </c>
      <c r="N207" s="4">
        <v>25</v>
      </c>
      <c r="O207" s="11">
        <v>1.8</v>
      </c>
      <c r="P207" s="11">
        <v>11.4</v>
      </c>
      <c r="Q207" s="11">
        <v>2.7</v>
      </c>
      <c r="R207" s="11">
        <v>0.5</v>
      </c>
      <c r="S207" s="11">
        <v>2.9</v>
      </c>
      <c r="T207" s="11">
        <v>3.4</v>
      </c>
      <c r="U207" s="11">
        <v>2.9</v>
      </c>
      <c r="V207" s="5">
        <v>45973.45484953704</v>
      </c>
      <c r="W207" s="5">
        <v>45973.455208333333</v>
      </c>
      <c r="X207" s="6">
        <v>3.7037036963738501E-4</v>
      </c>
    </row>
    <row r="208" spans="1:24" x14ac:dyDescent="0.3">
      <c r="A208" s="2">
        <v>208</v>
      </c>
      <c r="B208" t="s">
        <v>303</v>
      </c>
      <c r="C208" t="s">
        <v>24</v>
      </c>
      <c r="D208" t="s">
        <v>102</v>
      </c>
      <c r="E208" t="s">
        <v>26</v>
      </c>
      <c r="F208" t="s">
        <v>48</v>
      </c>
      <c r="G208" s="11">
        <v>12</v>
      </c>
      <c r="H208" s="11">
        <v>19.899999999999999</v>
      </c>
      <c r="I208" s="11">
        <v>3.2</v>
      </c>
      <c r="J208" s="11">
        <v>15.9</v>
      </c>
      <c r="K208" s="11">
        <v>12.9</v>
      </c>
      <c r="L208" s="11">
        <v>25.6</v>
      </c>
      <c r="M208" s="3" t="s">
        <v>252</v>
      </c>
      <c r="N208" s="4">
        <v>25</v>
      </c>
      <c r="O208" s="11">
        <v>21</v>
      </c>
      <c r="P208" s="3" t="s">
        <v>59</v>
      </c>
      <c r="Q208" s="3" t="s">
        <v>68</v>
      </c>
      <c r="R208" s="11">
        <v>5.8</v>
      </c>
      <c r="S208" s="11">
        <v>30.2</v>
      </c>
      <c r="T208" s="11">
        <v>19.600000000000001</v>
      </c>
      <c r="U208" s="3" t="s">
        <v>255</v>
      </c>
      <c r="V208" s="5">
        <v>45973.455335648148</v>
      </c>
      <c r="W208" s="5">
        <v>45973.455462962964</v>
      </c>
      <c r="X208" s="6">
        <v>1.3888889225199819E-4</v>
      </c>
    </row>
    <row r="209" spans="1:24" x14ac:dyDescent="0.3">
      <c r="A209" s="2">
        <v>209</v>
      </c>
      <c r="B209" t="s">
        <v>304</v>
      </c>
      <c r="C209" t="s">
        <v>24</v>
      </c>
      <c r="D209" t="s">
        <v>104</v>
      </c>
      <c r="E209" t="s">
        <v>26</v>
      </c>
      <c r="F209" t="s">
        <v>48</v>
      </c>
      <c r="G209" s="11">
        <v>11.5</v>
      </c>
      <c r="H209" s="11">
        <v>14.1</v>
      </c>
      <c r="I209" s="11">
        <v>1.8</v>
      </c>
      <c r="J209" s="11">
        <v>17.7</v>
      </c>
      <c r="K209" s="11">
        <v>16.2</v>
      </c>
      <c r="L209" s="11">
        <v>20.6</v>
      </c>
      <c r="M209" s="7">
        <v>9.2799999999999994</v>
      </c>
      <c r="N209" s="4">
        <v>25</v>
      </c>
      <c r="O209" s="11">
        <v>6.2</v>
      </c>
      <c r="P209" s="11">
        <v>19.8</v>
      </c>
      <c r="Q209" s="11">
        <v>4.9000000000000004</v>
      </c>
      <c r="R209" s="11">
        <v>5.6</v>
      </c>
      <c r="S209" s="11">
        <v>7.2</v>
      </c>
      <c r="T209" s="11">
        <v>6.8</v>
      </c>
      <c r="U209" s="11">
        <v>10</v>
      </c>
      <c r="V209" s="5">
        <v>45973.455590277779</v>
      </c>
      <c r="W209" s="5">
        <v>45973.455682870372</v>
      </c>
      <c r="X209" s="6">
        <v>9.2592585133388638E-5</v>
      </c>
    </row>
    <row r="210" spans="1:24" x14ac:dyDescent="0.3">
      <c r="A210" s="2">
        <v>210</v>
      </c>
      <c r="B210" t="s">
        <v>305</v>
      </c>
      <c r="C210" t="s">
        <v>24</v>
      </c>
      <c r="D210" t="s">
        <v>106</v>
      </c>
      <c r="E210" t="s">
        <v>26</v>
      </c>
      <c r="F210" t="s">
        <v>48</v>
      </c>
      <c r="G210" s="11">
        <v>12.2</v>
      </c>
      <c r="H210" s="11">
        <v>16.7</v>
      </c>
      <c r="I210" s="11">
        <v>1.9</v>
      </c>
      <c r="J210" s="11">
        <v>17.399999999999999</v>
      </c>
      <c r="K210" s="11">
        <v>20.2</v>
      </c>
      <c r="L210" s="11">
        <v>22.5</v>
      </c>
      <c r="M210" s="7">
        <v>9.69</v>
      </c>
      <c r="N210" s="4">
        <v>25</v>
      </c>
      <c r="O210" s="11">
        <v>12.2</v>
      </c>
      <c r="P210" s="11">
        <v>25</v>
      </c>
      <c r="Q210" s="11">
        <v>7.9</v>
      </c>
      <c r="R210" s="11">
        <v>5</v>
      </c>
      <c r="S210" s="11">
        <v>8.4</v>
      </c>
      <c r="T210" s="11">
        <v>10.4</v>
      </c>
      <c r="U210" s="11">
        <v>19.2</v>
      </c>
      <c r="V210" s="5">
        <v>45973.45579861111</v>
      </c>
      <c r="W210" s="5">
        <v>45973.455891203703</v>
      </c>
      <c r="X210" s="6">
        <v>9.2592585133388638E-5</v>
      </c>
    </row>
    <row r="211" spans="1:24" x14ac:dyDescent="0.3">
      <c r="A211" s="2">
        <v>211</v>
      </c>
      <c r="B211" t="s">
        <v>306</v>
      </c>
      <c r="C211" t="s">
        <v>24</v>
      </c>
      <c r="D211" t="s">
        <v>108</v>
      </c>
      <c r="E211" t="s">
        <v>26</v>
      </c>
      <c r="F211" t="s">
        <v>48</v>
      </c>
      <c r="G211" s="11">
        <v>9.1</v>
      </c>
      <c r="H211" s="11">
        <v>7</v>
      </c>
      <c r="I211" s="11">
        <v>1.3</v>
      </c>
      <c r="J211" s="11">
        <v>26.9</v>
      </c>
      <c r="K211" s="11">
        <v>40.799999999999997</v>
      </c>
      <c r="L211" s="11">
        <v>33.5</v>
      </c>
      <c r="M211" s="7">
        <v>8.99</v>
      </c>
      <c r="N211" s="4">
        <v>25</v>
      </c>
      <c r="O211" s="11">
        <v>1.5</v>
      </c>
      <c r="P211" s="11">
        <v>5.9</v>
      </c>
      <c r="Q211" s="11">
        <v>2.2000000000000002</v>
      </c>
      <c r="R211" s="11">
        <v>0.4</v>
      </c>
      <c r="S211" s="11">
        <v>2.1</v>
      </c>
      <c r="T211" s="11">
        <v>2.1</v>
      </c>
      <c r="U211" s="11">
        <v>2.6</v>
      </c>
      <c r="V211" s="5">
        <v>45973.456018518518</v>
      </c>
      <c r="W211" s="5">
        <v>45973.456145833334</v>
      </c>
      <c r="X211" s="6">
        <v>1.3888889225199819E-4</v>
      </c>
    </row>
    <row r="212" spans="1:24" x14ac:dyDescent="0.3">
      <c r="B212" s="1" t="s">
        <v>42</v>
      </c>
      <c r="G212" s="9">
        <f t="shared" ref="G212:U212" si="0">AVERAGE(G4:G211)</f>
        <v>10.199999999999998</v>
      </c>
      <c r="H212" s="9">
        <f t="shared" si="0"/>
        <v>17.637755102040824</v>
      </c>
      <c r="I212" s="9">
        <f t="shared" si="0"/>
        <v>1.8965686274509805</v>
      </c>
      <c r="J212" s="9">
        <f t="shared" si="0"/>
        <v>21.182211538461541</v>
      </c>
      <c r="K212" s="9">
        <f t="shared" si="0"/>
        <v>25.255624999999995</v>
      </c>
      <c r="L212" s="9">
        <f t="shared" si="0"/>
        <v>24.261835748792262</v>
      </c>
      <c r="M212" s="8">
        <f t="shared" si="0"/>
        <v>10.359455445544555</v>
      </c>
      <c r="N212" s="10">
        <f t="shared" si="0"/>
        <v>25</v>
      </c>
      <c r="O212" s="9">
        <f t="shared" si="0"/>
        <v>11.114423076923078</v>
      </c>
      <c r="P212" s="9">
        <f t="shared" si="0"/>
        <v>19.895597484276735</v>
      </c>
      <c r="Q212" s="9">
        <f t="shared" si="0"/>
        <v>9.8032085561497357</v>
      </c>
      <c r="R212" s="9">
        <f t="shared" si="0"/>
        <v>3.7538461538461543</v>
      </c>
      <c r="S212" s="9">
        <f t="shared" si="0"/>
        <v>15.039698492462321</v>
      </c>
      <c r="T212" s="9">
        <f t="shared" si="0"/>
        <v>16.8529702970297</v>
      </c>
      <c r="U212" s="9">
        <f t="shared" si="0"/>
        <v>13.710659898477159</v>
      </c>
    </row>
    <row r="213" spans="1:24" x14ac:dyDescent="0.3">
      <c r="B213" s="1" t="s">
        <v>43</v>
      </c>
      <c r="G213" s="9">
        <f t="shared" ref="G213:U213" si="1">MIN(G4:G211)</f>
        <v>5.0999999999999996</v>
      </c>
      <c r="H213" s="9">
        <f t="shared" si="1"/>
        <v>0.3</v>
      </c>
      <c r="I213" s="9">
        <f t="shared" si="1"/>
        <v>0.2</v>
      </c>
      <c r="J213" s="9">
        <f t="shared" si="1"/>
        <v>10.7</v>
      </c>
      <c r="K213" s="9">
        <f t="shared" si="1"/>
        <v>0.1</v>
      </c>
      <c r="L213" s="9">
        <f t="shared" si="1"/>
        <v>2.7</v>
      </c>
      <c r="M213" s="8">
        <f t="shared" si="1"/>
        <v>4.59</v>
      </c>
      <c r="N213" s="10">
        <f t="shared" si="1"/>
        <v>25</v>
      </c>
      <c r="O213" s="9">
        <f t="shared" si="1"/>
        <v>0.6</v>
      </c>
      <c r="P213" s="9">
        <f t="shared" si="1"/>
        <v>2.9</v>
      </c>
      <c r="Q213" s="9">
        <f t="shared" si="1"/>
        <v>1.2</v>
      </c>
      <c r="R213" s="9">
        <f t="shared" si="1"/>
        <v>0.1</v>
      </c>
      <c r="S213" s="9">
        <f t="shared" si="1"/>
        <v>1.2</v>
      </c>
      <c r="T213" s="9">
        <f t="shared" si="1"/>
        <v>0.9</v>
      </c>
      <c r="U213" s="9">
        <f t="shared" si="1"/>
        <v>1.4</v>
      </c>
    </row>
    <row r="214" spans="1:24" x14ac:dyDescent="0.3">
      <c r="B214" s="1" t="s">
        <v>44</v>
      </c>
      <c r="G214" s="9">
        <f t="shared" ref="G214:U214" si="2">MAX(G4:G211)</f>
        <v>12.8</v>
      </c>
      <c r="H214" s="9">
        <f t="shared" si="2"/>
        <v>45</v>
      </c>
      <c r="I214" s="9">
        <f t="shared" si="2"/>
        <v>4.7</v>
      </c>
      <c r="J214" s="9">
        <f t="shared" si="2"/>
        <v>30</v>
      </c>
      <c r="K214" s="9">
        <f t="shared" si="2"/>
        <v>69.3</v>
      </c>
      <c r="L214" s="9">
        <f t="shared" si="2"/>
        <v>40.6</v>
      </c>
      <c r="M214" s="8">
        <f t="shared" si="2"/>
        <v>21.16</v>
      </c>
      <c r="N214" s="10">
        <f t="shared" si="2"/>
        <v>25</v>
      </c>
      <c r="O214" s="9">
        <f t="shared" si="2"/>
        <v>60.1</v>
      </c>
      <c r="P214" s="9">
        <f t="shared" si="2"/>
        <v>54.8</v>
      </c>
      <c r="Q214" s="9">
        <f t="shared" si="2"/>
        <v>36.6</v>
      </c>
      <c r="R214" s="9">
        <f t="shared" si="2"/>
        <v>15.9</v>
      </c>
      <c r="S214" s="9">
        <f t="shared" si="2"/>
        <v>82.5</v>
      </c>
      <c r="T214" s="9">
        <f t="shared" si="2"/>
        <v>87.2</v>
      </c>
      <c r="U214" s="9">
        <f t="shared" si="2"/>
        <v>60</v>
      </c>
    </row>
    <row r="215" spans="1:24" x14ac:dyDescent="0.3">
      <c r="B215" s="1" t="s">
        <v>45</v>
      </c>
      <c r="G215" s="9">
        <f t="shared" ref="G215:U215" si="3">STDEV(G4:G211)</f>
        <v>1.6216077363177404</v>
      </c>
      <c r="H215" s="9">
        <f t="shared" si="3"/>
        <v>8.7376111891960182</v>
      </c>
      <c r="I215" s="9">
        <f t="shared" si="3"/>
        <v>0.92987524466270899</v>
      </c>
      <c r="J215" s="9">
        <f t="shared" si="3"/>
        <v>5.1170946725072337</v>
      </c>
      <c r="K215" s="9">
        <f t="shared" si="3"/>
        <v>16.684070461194079</v>
      </c>
      <c r="L215" s="9">
        <f t="shared" si="3"/>
        <v>7.9309852295130794</v>
      </c>
      <c r="M215" s="8">
        <f t="shared" si="3"/>
        <v>2.6496959743924382</v>
      </c>
      <c r="N215" s="10">
        <f t="shared" si="3"/>
        <v>0</v>
      </c>
      <c r="O215" s="9">
        <f t="shared" si="3"/>
        <v>12.397431698099014</v>
      </c>
      <c r="P215" s="9">
        <f t="shared" si="3"/>
        <v>12.813281014970414</v>
      </c>
      <c r="Q215" s="9">
        <f t="shared" si="3"/>
        <v>7.0974166415078175</v>
      </c>
      <c r="R215" s="9">
        <f t="shared" si="3"/>
        <v>2.7401266967754001</v>
      </c>
      <c r="S215" s="9">
        <f t="shared" si="3"/>
        <v>17.471991494312281</v>
      </c>
      <c r="T215" s="9">
        <f t="shared" si="3"/>
        <v>19.031981883582802</v>
      </c>
      <c r="U215" s="9">
        <f t="shared" si="3"/>
        <v>12.883763634072093</v>
      </c>
    </row>
    <row r="217" spans="1:24" x14ac:dyDescent="0.3">
      <c r="B217" s="1" t="s">
        <v>46</v>
      </c>
      <c r="G217" s="9" t="s">
        <v>47</v>
      </c>
      <c r="H217" s="9" t="s">
        <v>47</v>
      </c>
      <c r="I217" s="9" t="s">
        <v>47</v>
      </c>
      <c r="J217" s="9" t="s">
        <v>47</v>
      </c>
      <c r="K217" s="9" t="s">
        <v>47</v>
      </c>
      <c r="L217" s="9" t="s">
        <v>47</v>
      </c>
      <c r="M217" s="8" t="s">
        <v>47</v>
      </c>
      <c r="N217" s="10" t="s">
        <v>47</v>
      </c>
      <c r="O217" s="9" t="s">
        <v>47</v>
      </c>
      <c r="P217" s="9" t="s">
        <v>47</v>
      </c>
      <c r="Q217" s="9" t="s">
        <v>47</v>
      </c>
      <c r="R217" s="9" t="s">
        <v>47</v>
      </c>
      <c r="S217" s="9" t="s">
        <v>47</v>
      </c>
      <c r="T217" s="9" t="s">
        <v>47</v>
      </c>
      <c r="U217" s="9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2684-3006-4CE9-8ADB-7492812B3398}">
  <dimension ref="A1:V69"/>
  <sheetViews>
    <sheetView workbookViewId="0"/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307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308</v>
      </c>
      <c r="K3" s="2" t="s">
        <v>10</v>
      </c>
      <c r="L3" s="2" t="s">
        <v>11</v>
      </c>
      <c r="M3" s="2" t="s">
        <v>19</v>
      </c>
      <c r="N3" s="2" t="s">
        <v>13</v>
      </c>
      <c r="O3" s="2" t="s">
        <v>14</v>
      </c>
      <c r="P3" s="2" t="s">
        <v>15</v>
      </c>
      <c r="Q3" s="2" t="s">
        <v>309</v>
      </c>
      <c r="R3" s="2" t="s">
        <v>16</v>
      </c>
      <c r="S3" s="2" t="s">
        <v>17</v>
      </c>
      <c r="T3" s="2" t="s">
        <v>20</v>
      </c>
      <c r="U3" s="2" t="s">
        <v>21</v>
      </c>
      <c r="V3" s="2" t="s">
        <v>22</v>
      </c>
    </row>
    <row r="4" spans="1:22" x14ac:dyDescent="0.3">
      <c r="A4" s="2">
        <v>212</v>
      </c>
      <c r="B4" t="s">
        <v>310</v>
      </c>
      <c r="C4" t="s">
        <v>24</v>
      </c>
      <c r="D4" t="s">
        <v>311</v>
      </c>
      <c r="E4" t="s">
        <v>26</v>
      </c>
      <c r="F4" t="s">
        <v>307</v>
      </c>
      <c r="G4" s="11">
        <v>12.2</v>
      </c>
      <c r="H4" s="11">
        <v>36.5</v>
      </c>
      <c r="I4" s="11">
        <v>1.7</v>
      </c>
      <c r="J4" s="11">
        <v>4.5999999999999996</v>
      </c>
      <c r="K4" s="11">
        <v>11.2</v>
      </c>
      <c r="L4" s="11">
        <v>5.6</v>
      </c>
      <c r="M4" s="4">
        <v>25</v>
      </c>
      <c r="N4" s="11">
        <v>3</v>
      </c>
      <c r="O4" s="11">
        <v>4.3</v>
      </c>
      <c r="P4" s="11">
        <v>8.3000000000000007</v>
      </c>
      <c r="Q4" s="11">
        <v>10.3</v>
      </c>
      <c r="R4" s="11">
        <v>8.3000000000000007</v>
      </c>
      <c r="S4" s="11">
        <v>2.6</v>
      </c>
      <c r="T4" s="5">
        <v>45972.414201388892</v>
      </c>
      <c r="U4" s="5">
        <v>45972.414363425924</v>
      </c>
      <c r="V4" s="6">
        <v>1.6203703125938773E-4</v>
      </c>
    </row>
    <row r="5" spans="1:22" x14ac:dyDescent="0.3">
      <c r="A5" s="2">
        <v>213</v>
      </c>
      <c r="B5" t="s">
        <v>312</v>
      </c>
      <c r="C5" t="s">
        <v>24</v>
      </c>
      <c r="D5" t="s">
        <v>313</v>
      </c>
      <c r="E5" t="s">
        <v>26</v>
      </c>
      <c r="F5" t="s">
        <v>307</v>
      </c>
      <c r="G5" s="11">
        <v>12.4</v>
      </c>
      <c r="H5" s="11">
        <v>37.1</v>
      </c>
      <c r="I5" s="11">
        <v>2</v>
      </c>
      <c r="J5" s="11">
        <v>5.0999999999999996</v>
      </c>
      <c r="K5" s="11">
        <v>10.9</v>
      </c>
      <c r="L5" s="11">
        <v>5.4</v>
      </c>
      <c r="M5" s="4">
        <v>25</v>
      </c>
      <c r="N5" s="11">
        <v>4.9000000000000004</v>
      </c>
      <c r="O5" s="11">
        <v>6.3</v>
      </c>
      <c r="P5" s="11">
        <v>11.3</v>
      </c>
      <c r="Q5" s="11">
        <v>16.8</v>
      </c>
      <c r="R5" s="11">
        <v>13.5</v>
      </c>
      <c r="S5" s="11">
        <v>4.9000000000000004</v>
      </c>
      <c r="T5" s="5">
        <v>45972.422962962963</v>
      </c>
      <c r="U5" s="5">
        <v>45972.423368055555</v>
      </c>
      <c r="V5" s="6">
        <v>4.0509257814846933E-4</v>
      </c>
    </row>
    <row r="6" spans="1:22" x14ac:dyDescent="0.3">
      <c r="A6" s="2">
        <v>214</v>
      </c>
      <c r="B6" t="s">
        <v>314</v>
      </c>
      <c r="C6" t="s">
        <v>24</v>
      </c>
      <c r="D6" t="s">
        <v>315</v>
      </c>
      <c r="E6" t="s">
        <v>26</v>
      </c>
      <c r="F6" t="s">
        <v>307</v>
      </c>
      <c r="G6" s="11">
        <v>12.3</v>
      </c>
      <c r="H6" s="11">
        <v>36.700000000000003</v>
      </c>
      <c r="I6" s="11">
        <v>2</v>
      </c>
      <c r="J6" s="11">
        <v>5.0999999999999996</v>
      </c>
      <c r="K6" s="11">
        <v>11.3</v>
      </c>
      <c r="L6" s="11">
        <v>5.4</v>
      </c>
      <c r="M6" s="4">
        <v>25</v>
      </c>
      <c r="N6" s="11">
        <v>4.8</v>
      </c>
      <c r="O6" s="11">
        <v>7.1</v>
      </c>
      <c r="P6" s="11">
        <v>11.6</v>
      </c>
      <c r="Q6" s="11">
        <v>17.7</v>
      </c>
      <c r="R6" s="11">
        <v>12.9</v>
      </c>
      <c r="S6" s="11">
        <v>5.4</v>
      </c>
      <c r="T6" s="5">
        <v>45972.423460648148</v>
      </c>
      <c r="U6" s="5">
        <v>45972.423622685186</v>
      </c>
      <c r="V6" s="6">
        <v>1.6203703125938773E-4</v>
      </c>
    </row>
    <row r="7" spans="1:22" x14ac:dyDescent="0.3">
      <c r="A7" s="2">
        <v>215</v>
      </c>
      <c r="B7" t="s">
        <v>316</v>
      </c>
      <c r="C7" t="s">
        <v>24</v>
      </c>
      <c r="D7" t="s">
        <v>317</v>
      </c>
      <c r="E7" t="s">
        <v>26</v>
      </c>
      <c r="F7" t="s">
        <v>307</v>
      </c>
      <c r="G7" s="11">
        <v>77.2</v>
      </c>
      <c r="H7" s="3" t="s">
        <v>253</v>
      </c>
      <c r="I7" s="3" t="s">
        <v>54</v>
      </c>
      <c r="J7" s="11">
        <v>30.7</v>
      </c>
      <c r="K7" s="3" t="s">
        <v>54</v>
      </c>
      <c r="L7" s="3" t="s">
        <v>318</v>
      </c>
      <c r="M7" s="4">
        <v>25</v>
      </c>
      <c r="N7" s="3" t="s">
        <v>253</v>
      </c>
      <c r="O7" s="3" t="s">
        <v>253</v>
      </c>
      <c r="P7" s="3" t="s">
        <v>319</v>
      </c>
      <c r="Q7" s="3" t="s">
        <v>255</v>
      </c>
      <c r="R7" s="3" t="s">
        <v>320</v>
      </c>
      <c r="S7" s="3" t="s">
        <v>321</v>
      </c>
      <c r="T7" s="5">
        <v>45972.425763888888</v>
      </c>
      <c r="U7" s="5">
        <v>45972.425925925927</v>
      </c>
      <c r="V7" s="6">
        <v>1.6203703125938773E-4</v>
      </c>
    </row>
    <row r="8" spans="1:22" x14ac:dyDescent="0.3">
      <c r="A8" s="2">
        <v>216</v>
      </c>
      <c r="B8" t="s">
        <v>322</v>
      </c>
      <c r="C8" t="s">
        <v>24</v>
      </c>
      <c r="D8" t="s">
        <v>26</v>
      </c>
      <c r="E8" t="s">
        <v>26</v>
      </c>
      <c r="F8" t="s">
        <v>307</v>
      </c>
      <c r="G8" s="11">
        <v>82.8</v>
      </c>
      <c r="H8" s="3" t="s">
        <v>253</v>
      </c>
      <c r="I8" s="3" t="s">
        <v>54</v>
      </c>
      <c r="J8" s="11">
        <v>30.4</v>
      </c>
      <c r="K8" s="3" t="s">
        <v>54</v>
      </c>
      <c r="L8" s="3" t="s">
        <v>318</v>
      </c>
      <c r="M8" s="4">
        <v>25</v>
      </c>
      <c r="N8" s="3" t="s">
        <v>253</v>
      </c>
      <c r="O8" s="3" t="s">
        <v>253</v>
      </c>
      <c r="P8" s="3" t="s">
        <v>319</v>
      </c>
      <c r="Q8" s="3" t="s">
        <v>255</v>
      </c>
      <c r="R8" s="3" t="s">
        <v>320</v>
      </c>
      <c r="S8" s="3" t="s">
        <v>321</v>
      </c>
      <c r="T8" s="5">
        <v>45972.425925925927</v>
      </c>
      <c r="U8" s="5">
        <v>45972.426203703704</v>
      </c>
      <c r="V8" s="6">
        <v>2.7777778450399637E-4</v>
      </c>
    </row>
    <row r="9" spans="1:22" x14ac:dyDescent="0.3">
      <c r="A9" s="2">
        <v>217</v>
      </c>
      <c r="B9" t="s">
        <v>323</v>
      </c>
      <c r="C9" t="s">
        <v>24</v>
      </c>
      <c r="D9" t="s">
        <v>324</v>
      </c>
      <c r="E9" t="s">
        <v>110</v>
      </c>
      <c r="F9" t="s">
        <v>307</v>
      </c>
      <c r="G9" s="11">
        <v>11.8</v>
      </c>
      <c r="H9" s="11">
        <v>36.299999999999997</v>
      </c>
      <c r="I9" s="11">
        <v>2.1</v>
      </c>
      <c r="J9" s="11">
        <v>4.9000000000000004</v>
      </c>
      <c r="K9" s="11">
        <v>11.4</v>
      </c>
      <c r="L9" s="11">
        <v>6</v>
      </c>
      <c r="M9" s="4">
        <v>25</v>
      </c>
      <c r="N9" s="11">
        <v>4.2</v>
      </c>
      <c r="O9" s="11">
        <v>5.8</v>
      </c>
      <c r="P9" s="11">
        <v>11.3</v>
      </c>
      <c r="Q9" s="11">
        <v>13.7</v>
      </c>
      <c r="R9" s="11">
        <v>10.8</v>
      </c>
      <c r="S9" s="11">
        <v>4.4000000000000004</v>
      </c>
      <c r="T9" s="5">
        <v>45972.437777777777</v>
      </c>
      <c r="U9" s="5">
        <v>45972.438298611109</v>
      </c>
      <c r="V9" s="6">
        <v>5.2083333139307797E-4</v>
      </c>
    </row>
    <row r="10" spans="1:22" x14ac:dyDescent="0.3">
      <c r="A10" s="2">
        <v>218</v>
      </c>
      <c r="B10" t="s">
        <v>325</v>
      </c>
      <c r="C10" t="s">
        <v>24</v>
      </c>
      <c r="D10" t="s">
        <v>313</v>
      </c>
      <c r="E10" t="s">
        <v>26</v>
      </c>
      <c r="F10" t="s">
        <v>307</v>
      </c>
      <c r="G10" s="11">
        <v>11.8</v>
      </c>
      <c r="H10" s="11">
        <v>36.6</v>
      </c>
      <c r="I10" s="11">
        <v>2.1</v>
      </c>
      <c r="J10" s="11">
        <v>4.8</v>
      </c>
      <c r="K10" s="11">
        <v>11.6</v>
      </c>
      <c r="L10" s="11">
        <v>5.9</v>
      </c>
      <c r="M10" s="4">
        <v>25</v>
      </c>
      <c r="N10" s="11">
        <v>3.4</v>
      </c>
      <c r="O10" s="11">
        <v>5</v>
      </c>
      <c r="P10" s="11">
        <v>9.3000000000000007</v>
      </c>
      <c r="Q10" s="11">
        <v>12.3</v>
      </c>
      <c r="R10" s="11">
        <v>8.3000000000000007</v>
      </c>
      <c r="S10" s="11">
        <v>3.6</v>
      </c>
      <c r="T10" s="5">
        <v>45972.438402777778</v>
      </c>
      <c r="U10" s="5">
        <v>45972.438611111109</v>
      </c>
      <c r="V10" s="6">
        <v>1.9675926887430251E-4</v>
      </c>
    </row>
    <row r="11" spans="1:22" x14ac:dyDescent="0.3">
      <c r="A11" s="2">
        <v>219</v>
      </c>
      <c r="B11" t="s">
        <v>326</v>
      </c>
      <c r="C11" t="s">
        <v>24</v>
      </c>
      <c r="D11" t="s">
        <v>315</v>
      </c>
      <c r="E11" t="s">
        <v>26</v>
      </c>
      <c r="F11" t="s">
        <v>307</v>
      </c>
      <c r="G11" s="11">
        <v>11.8</v>
      </c>
      <c r="H11" s="11">
        <v>36.6</v>
      </c>
      <c r="I11" s="11">
        <v>2.1</v>
      </c>
      <c r="J11" s="11">
        <v>5</v>
      </c>
      <c r="K11" s="11">
        <v>11.8</v>
      </c>
      <c r="L11" s="11">
        <v>5.9</v>
      </c>
      <c r="M11" s="4">
        <v>25</v>
      </c>
      <c r="N11" s="11">
        <v>3.8</v>
      </c>
      <c r="O11" s="11">
        <v>5.8</v>
      </c>
      <c r="P11" s="11">
        <v>11.3</v>
      </c>
      <c r="Q11" s="11">
        <v>14.5</v>
      </c>
      <c r="R11" s="11">
        <v>9.6</v>
      </c>
      <c r="S11" s="11">
        <v>4.5999999999999996</v>
      </c>
      <c r="T11" s="5">
        <v>45972.438854166663</v>
      </c>
      <c r="U11" s="5">
        <v>45972.438981481479</v>
      </c>
      <c r="V11" s="6">
        <v>1.2731482274830341E-4</v>
      </c>
    </row>
    <row r="12" spans="1:22" x14ac:dyDescent="0.3">
      <c r="A12" s="2">
        <v>220</v>
      </c>
      <c r="B12" t="s">
        <v>327</v>
      </c>
      <c r="C12" t="s">
        <v>137</v>
      </c>
      <c r="D12" t="s">
        <v>324</v>
      </c>
      <c r="E12" t="s">
        <v>26</v>
      </c>
      <c r="F12" t="s">
        <v>307</v>
      </c>
      <c r="G12" s="11">
        <v>14.2</v>
      </c>
      <c r="H12" s="11">
        <v>34.6</v>
      </c>
      <c r="I12" s="11">
        <v>0.3</v>
      </c>
      <c r="J12" s="11">
        <v>3.6</v>
      </c>
      <c r="K12" s="11">
        <v>14</v>
      </c>
      <c r="L12" s="11">
        <v>5.3</v>
      </c>
      <c r="M12" s="4">
        <v>25</v>
      </c>
      <c r="N12" s="11">
        <v>11.7</v>
      </c>
      <c r="O12" s="11">
        <v>15.5</v>
      </c>
      <c r="P12" s="11">
        <v>12.8</v>
      </c>
      <c r="Q12" s="11">
        <v>19.399999999999999</v>
      </c>
      <c r="R12" s="11">
        <v>14.1</v>
      </c>
      <c r="S12" s="11">
        <v>8.4</v>
      </c>
      <c r="T12" s="5">
        <v>45972.528749999998</v>
      </c>
      <c r="U12" s="5">
        <v>45972.528935185182</v>
      </c>
      <c r="V12" s="6">
        <v>1.8518519937060773E-4</v>
      </c>
    </row>
    <row r="13" spans="1:22" x14ac:dyDescent="0.3">
      <c r="A13" s="2">
        <v>221</v>
      </c>
      <c r="B13" t="s">
        <v>328</v>
      </c>
      <c r="C13" t="s">
        <v>137</v>
      </c>
      <c r="D13" t="s">
        <v>313</v>
      </c>
      <c r="E13" t="s">
        <v>26</v>
      </c>
      <c r="F13" t="s">
        <v>307</v>
      </c>
      <c r="G13" s="11">
        <v>14.3</v>
      </c>
      <c r="H13" s="11">
        <v>35.4</v>
      </c>
      <c r="I13" s="11">
        <v>0.3</v>
      </c>
      <c r="J13" s="11">
        <v>3.7</v>
      </c>
      <c r="K13" s="11">
        <v>13.3</v>
      </c>
      <c r="L13" s="11">
        <v>5.4</v>
      </c>
      <c r="M13" s="4">
        <v>25</v>
      </c>
      <c r="N13" s="11">
        <v>12.8</v>
      </c>
      <c r="O13" s="11">
        <v>15.7</v>
      </c>
      <c r="P13" s="11">
        <v>14</v>
      </c>
      <c r="Q13" s="11">
        <v>20.9</v>
      </c>
      <c r="R13" s="11">
        <v>13.4</v>
      </c>
      <c r="S13" s="11">
        <v>9.6999999999999993</v>
      </c>
      <c r="T13" s="5">
        <v>45972.529062499998</v>
      </c>
      <c r="U13" s="5">
        <v>45972.529189814813</v>
      </c>
      <c r="V13" s="6">
        <v>1.3888889225199819E-4</v>
      </c>
    </row>
    <row r="14" spans="1:22" x14ac:dyDescent="0.3">
      <c r="A14" s="2">
        <v>222</v>
      </c>
      <c r="B14" t="s">
        <v>329</v>
      </c>
      <c r="C14" t="s">
        <v>137</v>
      </c>
      <c r="D14" t="s">
        <v>315</v>
      </c>
      <c r="E14" t="s">
        <v>26</v>
      </c>
      <c r="F14" t="s">
        <v>307</v>
      </c>
      <c r="G14" s="11">
        <v>14.2</v>
      </c>
      <c r="H14" s="11">
        <v>35.6</v>
      </c>
      <c r="I14" s="11">
        <v>0.3</v>
      </c>
      <c r="J14" s="11">
        <v>3.8</v>
      </c>
      <c r="K14" s="11">
        <v>13.8</v>
      </c>
      <c r="L14" s="11">
        <v>5.4</v>
      </c>
      <c r="M14" s="4">
        <v>25</v>
      </c>
      <c r="N14" s="11">
        <v>12</v>
      </c>
      <c r="O14" s="11">
        <v>13.9</v>
      </c>
      <c r="P14" s="11">
        <v>13.9</v>
      </c>
      <c r="Q14" s="11">
        <v>22.5</v>
      </c>
      <c r="R14" s="11">
        <v>13</v>
      </c>
      <c r="S14" s="11">
        <v>9.9</v>
      </c>
      <c r="T14" s="5">
        <v>45972.529340277775</v>
      </c>
      <c r="U14" s="5">
        <v>45972.529467592591</v>
      </c>
      <c r="V14" s="6">
        <v>1.2731482274830341E-4</v>
      </c>
    </row>
    <row r="15" spans="1:22" x14ac:dyDescent="0.3">
      <c r="A15" s="2">
        <v>223</v>
      </c>
      <c r="B15" t="s">
        <v>330</v>
      </c>
      <c r="C15" t="s">
        <v>137</v>
      </c>
      <c r="D15" t="s">
        <v>324</v>
      </c>
      <c r="E15" t="s">
        <v>26</v>
      </c>
      <c r="F15" t="s">
        <v>307</v>
      </c>
      <c r="G15" s="11">
        <v>14.7</v>
      </c>
      <c r="H15" s="11">
        <v>35.299999999999997</v>
      </c>
      <c r="I15" s="3" t="s">
        <v>54</v>
      </c>
      <c r="J15" s="11">
        <v>3.1</v>
      </c>
      <c r="K15" s="11">
        <v>13.1</v>
      </c>
      <c r="L15" s="11">
        <v>5.8</v>
      </c>
      <c r="M15" s="4">
        <v>25</v>
      </c>
      <c r="N15" s="11">
        <v>16.5</v>
      </c>
      <c r="O15" s="11">
        <v>12</v>
      </c>
      <c r="P15" s="11">
        <v>13.6</v>
      </c>
      <c r="Q15" s="11">
        <v>19</v>
      </c>
      <c r="R15" s="11">
        <v>14.2</v>
      </c>
      <c r="S15" s="11">
        <v>10.9</v>
      </c>
      <c r="T15" s="5">
        <v>45972.575659722221</v>
      </c>
      <c r="U15" s="5">
        <v>45972.575798611113</v>
      </c>
      <c r="V15" s="6">
        <v>1.3888889225199819E-4</v>
      </c>
    </row>
    <row r="16" spans="1:22" x14ac:dyDescent="0.3">
      <c r="A16" s="2">
        <v>224</v>
      </c>
      <c r="B16" t="s">
        <v>331</v>
      </c>
      <c r="C16" t="s">
        <v>137</v>
      </c>
      <c r="D16" t="s">
        <v>313</v>
      </c>
      <c r="E16" t="s">
        <v>26</v>
      </c>
      <c r="F16" t="s">
        <v>307</v>
      </c>
      <c r="G16" s="11">
        <v>14</v>
      </c>
      <c r="H16" s="11">
        <v>35.299999999999997</v>
      </c>
      <c r="I16" s="11">
        <v>0.2</v>
      </c>
      <c r="J16" s="11">
        <v>3.5</v>
      </c>
      <c r="K16" s="11">
        <v>13.8</v>
      </c>
      <c r="L16" s="11">
        <v>5.7</v>
      </c>
      <c r="M16" s="4">
        <v>25</v>
      </c>
      <c r="N16" s="11">
        <v>15.6</v>
      </c>
      <c r="O16" s="11">
        <v>17.399999999999999</v>
      </c>
      <c r="P16" s="11">
        <v>17.100000000000001</v>
      </c>
      <c r="Q16" s="11">
        <v>25.2</v>
      </c>
      <c r="R16" s="11">
        <v>14.9</v>
      </c>
      <c r="S16" s="11">
        <v>13.7</v>
      </c>
      <c r="T16" s="5">
        <v>45972.576157407406</v>
      </c>
      <c r="U16" s="5">
        <v>45972.576331018521</v>
      </c>
      <c r="V16" s="6">
        <v>1.736111007630825E-4</v>
      </c>
    </row>
    <row r="17" spans="1:22" x14ac:dyDescent="0.3">
      <c r="A17" s="2">
        <v>225</v>
      </c>
      <c r="B17" t="s">
        <v>332</v>
      </c>
      <c r="C17" t="s">
        <v>137</v>
      </c>
      <c r="D17" t="s">
        <v>315</v>
      </c>
      <c r="E17" t="s">
        <v>26</v>
      </c>
      <c r="F17" t="s">
        <v>307</v>
      </c>
      <c r="G17" s="11">
        <v>14.3</v>
      </c>
      <c r="H17" s="11">
        <v>35.5</v>
      </c>
      <c r="I17" s="11">
        <v>0.2</v>
      </c>
      <c r="J17" s="11">
        <v>3.7</v>
      </c>
      <c r="K17" s="11">
        <v>12.9</v>
      </c>
      <c r="L17" s="11">
        <v>5.8</v>
      </c>
      <c r="M17" s="4">
        <v>25</v>
      </c>
      <c r="N17" s="11">
        <v>15.6</v>
      </c>
      <c r="O17" s="11">
        <v>14.1</v>
      </c>
      <c r="P17" s="11">
        <v>15</v>
      </c>
      <c r="Q17" s="11">
        <v>25.3</v>
      </c>
      <c r="R17" s="11">
        <v>13.4</v>
      </c>
      <c r="S17" s="11">
        <v>11.6</v>
      </c>
      <c r="T17" s="5">
        <v>45972.576458333337</v>
      </c>
      <c r="U17" s="5">
        <v>45972.576597222222</v>
      </c>
      <c r="V17" s="6">
        <v>1.3888889225199819E-4</v>
      </c>
    </row>
    <row r="18" spans="1:22" x14ac:dyDescent="0.3">
      <c r="A18" s="2">
        <v>226</v>
      </c>
      <c r="B18" t="s">
        <v>333</v>
      </c>
      <c r="C18" t="s">
        <v>24</v>
      </c>
      <c r="D18" t="s">
        <v>324</v>
      </c>
      <c r="E18" t="s">
        <v>26</v>
      </c>
      <c r="F18" t="s">
        <v>307</v>
      </c>
      <c r="G18" s="11">
        <v>12.7</v>
      </c>
      <c r="H18" s="11">
        <v>37.200000000000003</v>
      </c>
      <c r="I18" s="11">
        <v>2.2999999999999998</v>
      </c>
      <c r="J18" s="11">
        <v>4.5</v>
      </c>
      <c r="K18" s="11">
        <v>11.9</v>
      </c>
      <c r="L18" s="11">
        <v>5.7</v>
      </c>
      <c r="M18" s="4">
        <v>25</v>
      </c>
      <c r="N18" s="11">
        <v>15.7</v>
      </c>
      <c r="O18" s="11">
        <v>15.8</v>
      </c>
      <c r="P18" s="11">
        <v>26</v>
      </c>
      <c r="Q18" s="11">
        <v>19.7</v>
      </c>
      <c r="R18" s="11">
        <v>18.399999999999999</v>
      </c>
      <c r="S18" s="11">
        <v>14.8</v>
      </c>
      <c r="T18" s="5">
        <v>45972.603530092594</v>
      </c>
      <c r="U18" s="5">
        <v>45972.603645833333</v>
      </c>
      <c r="V18" s="6">
        <v>1.1574075324460864E-4</v>
      </c>
    </row>
    <row r="19" spans="1:22" x14ac:dyDescent="0.3">
      <c r="A19" s="2">
        <v>227</v>
      </c>
      <c r="B19" t="s">
        <v>334</v>
      </c>
      <c r="C19" t="s">
        <v>24</v>
      </c>
      <c r="D19" t="s">
        <v>313</v>
      </c>
      <c r="E19" t="s">
        <v>26</v>
      </c>
      <c r="F19" t="s">
        <v>307</v>
      </c>
      <c r="G19" s="11">
        <v>12.5</v>
      </c>
      <c r="H19" s="11">
        <v>36.9</v>
      </c>
      <c r="I19" s="11">
        <v>2.5</v>
      </c>
      <c r="J19" s="11">
        <v>4.5</v>
      </c>
      <c r="K19" s="11">
        <v>12.1</v>
      </c>
      <c r="L19" s="11">
        <v>5.7</v>
      </c>
      <c r="M19" s="4">
        <v>25</v>
      </c>
      <c r="N19" s="11">
        <v>15.5</v>
      </c>
      <c r="O19" s="11">
        <v>16.399999999999999</v>
      </c>
      <c r="P19" s="11">
        <v>26.7</v>
      </c>
      <c r="Q19" s="11">
        <v>19.899999999999999</v>
      </c>
      <c r="R19" s="11">
        <v>18.100000000000001</v>
      </c>
      <c r="S19" s="11">
        <v>14.6</v>
      </c>
      <c r="T19" s="5">
        <v>45972.603773148148</v>
      </c>
      <c r="U19" s="5">
        <v>45972.603888888887</v>
      </c>
      <c r="V19" s="6">
        <v>1.1574075324460864E-4</v>
      </c>
    </row>
    <row r="20" spans="1:22" x14ac:dyDescent="0.3">
      <c r="A20" s="2">
        <v>228</v>
      </c>
      <c r="B20" t="s">
        <v>335</v>
      </c>
      <c r="C20" t="s">
        <v>24</v>
      </c>
      <c r="D20" t="s">
        <v>315</v>
      </c>
      <c r="E20" t="s">
        <v>26</v>
      </c>
      <c r="F20" t="s">
        <v>307</v>
      </c>
      <c r="G20" s="11">
        <v>12.5</v>
      </c>
      <c r="H20" s="11">
        <v>36.700000000000003</v>
      </c>
      <c r="I20" s="11">
        <v>2.6</v>
      </c>
      <c r="J20" s="11">
        <v>4.8</v>
      </c>
      <c r="K20" s="11">
        <v>12.1</v>
      </c>
      <c r="L20" s="11">
        <v>5.8</v>
      </c>
      <c r="M20" s="4">
        <v>25</v>
      </c>
      <c r="N20" s="11">
        <v>14.1</v>
      </c>
      <c r="O20" s="11">
        <v>15.7</v>
      </c>
      <c r="P20" s="11">
        <v>26.4</v>
      </c>
      <c r="Q20" s="11">
        <v>20.7</v>
      </c>
      <c r="R20" s="11">
        <v>18.600000000000001</v>
      </c>
      <c r="S20" s="11">
        <v>13.8</v>
      </c>
      <c r="T20" s="5">
        <v>45972.604027777779</v>
      </c>
      <c r="U20" s="5">
        <v>45972.604270833333</v>
      </c>
      <c r="V20" s="6">
        <v>2.430555468890816E-4</v>
      </c>
    </row>
    <row r="21" spans="1:22" x14ac:dyDescent="0.3">
      <c r="A21" s="2">
        <v>229</v>
      </c>
      <c r="B21" t="s">
        <v>336</v>
      </c>
      <c r="C21" t="s">
        <v>24</v>
      </c>
      <c r="D21" t="s">
        <v>311</v>
      </c>
      <c r="E21" t="s">
        <v>26</v>
      </c>
      <c r="F21" t="s">
        <v>307</v>
      </c>
      <c r="G21" s="11">
        <v>11.8</v>
      </c>
      <c r="H21" s="11">
        <v>36.6</v>
      </c>
      <c r="I21" s="11">
        <v>1.8</v>
      </c>
      <c r="J21" s="11">
        <v>5.2</v>
      </c>
      <c r="K21" s="11">
        <v>10.7</v>
      </c>
      <c r="L21" s="11">
        <v>5.4</v>
      </c>
      <c r="M21" s="4">
        <v>25</v>
      </c>
      <c r="N21" s="11">
        <v>3.6</v>
      </c>
      <c r="O21" s="11">
        <v>5</v>
      </c>
      <c r="P21" s="11">
        <v>10.9</v>
      </c>
      <c r="Q21" s="11">
        <v>16.8</v>
      </c>
      <c r="R21" s="11">
        <v>16.7</v>
      </c>
      <c r="S21" s="11">
        <v>4</v>
      </c>
      <c r="T21" s="5">
        <v>45972.682847222219</v>
      </c>
      <c r="U21" s="5">
        <v>45972.68304398148</v>
      </c>
      <c r="V21" s="6">
        <v>1.9675926887430251E-4</v>
      </c>
    </row>
    <row r="22" spans="1:22" x14ac:dyDescent="0.3">
      <c r="A22" s="2">
        <v>230</v>
      </c>
      <c r="B22" t="s">
        <v>337</v>
      </c>
      <c r="C22" t="s">
        <v>24</v>
      </c>
      <c r="D22" t="s">
        <v>311</v>
      </c>
      <c r="E22" t="s">
        <v>26</v>
      </c>
      <c r="F22" t="s">
        <v>307</v>
      </c>
      <c r="G22" s="11">
        <v>11.9</v>
      </c>
      <c r="H22" s="11">
        <v>37.200000000000003</v>
      </c>
      <c r="I22" s="11">
        <v>1.8</v>
      </c>
      <c r="J22" s="11">
        <v>5.3</v>
      </c>
      <c r="K22" s="11">
        <v>11</v>
      </c>
      <c r="L22" s="11">
        <v>5.3</v>
      </c>
      <c r="M22" s="4">
        <v>25</v>
      </c>
      <c r="N22" s="11">
        <v>4.3</v>
      </c>
      <c r="O22" s="11">
        <v>5.9</v>
      </c>
      <c r="P22" s="11">
        <v>12.8</v>
      </c>
      <c r="Q22" s="11">
        <v>19.2</v>
      </c>
      <c r="R22" s="11">
        <v>17.8</v>
      </c>
      <c r="S22" s="11">
        <v>4.9000000000000004</v>
      </c>
      <c r="T22" s="5">
        <v>45972.683182870373</v>
      </c>
      <c r="U22" s="5">
        <v>45972.683298611111</v>
      </c>
      <c r="V22" s="6">
        <v>1.1574075324460864E-4</v>
      </c>
    </row>
    <row r="23" spans="1:22" x14ac:dyDescent="0.3">
      <c r="A23" s="2">
        <v>231</v>
      </c>
      <c r="B23" t="s">
        <v>338</v>
      </c>
      <c r="C23" t="s">
        <v>24</v>
      </c>
      <c r="D23" t="s">
        <v>311</v>
      </c>
      <c r="E23" t="s">
        <v>26</v>
      </c>
      <c r="F23" t="s">
        <v>307</v>
      </c>
      <c r="G23" s="11">
        <v>11.1</v>
      </c>
      <c r="H23" s="11">
        <v>35.799999999999997</v>
      </c>
      <c r="I23" s="11">
        <v>1.9</v>
      </c>
      <c r="J23" s="11">
        <v>5.0999999999999996</v>
      </c>
      <c r="K23" s="11">
        <v>12.2</v>
      </c>
      <c r="L23" s="11">
        <v>6</v>
      </c>
      <c r="M23" s="4">
        <v>25</v>
      </c>
      <c r="N23" s="11">
        <v>2.7</v>
      </c>
      <c r="O23" s="11">
        <v>4.5</v>
      </c>
      <c r="P23" s="11">
        <v>12.9</v>
      </c>
      <c r="Q23" s="11">
        <v>12.2</v>
      </c>
      <c r="R23" s="11">
        <v>10.6</v>
      </c>
      <c r="S23" s="11">
        <v>3.8</v>
      </c>
      <c r="T23" s="5">
        <v>45972.688125000001</v>
      </c>
      <c r="U23" s="5">
        <v>45972.688287037039</v>
      </c>
      <c r="V23" s="6">
        <v>1.6203703125938773E-4</v>
      </c>
    </row>
    <row r="24" spans="1:22" x14ac:dyDescent="0.3">
      <c r="A24" s="2">
        <v>232</v>
      </c>
      <c r="B24" t="s">
        <v>339</v>
      </c>
      <c r="C24" t="s">
        <v>24</v>
      </c>
      <c r="D24" t="s">
        <v>311</v>
      </c>
      <c r="E24" t="s">
        <v>26</v>
      </c>
      <c r="F24" t="s">
        <v>307</v>
      </c>
      <c r="G24" s="11">
        <v>11.1</v>
      </c>
      <c r="H24" s="11">
        <v>36.4</v>
      </c>
      <c r="I24" s="11">
        <v>1.5</v>
      </c>
      <c r="J24" s="11">
        <v>4.7</v>
      </c>
      <c r="K24" s="11">
        <v>11.7</v>
      </c>
      <c r="L24" s="11">
        <v>6</v>
      </c>
      <c r="M24" s="4">
        <v>25</v>
      </c>
      <c r="N24" s="11">
        <v>2.9</v>
      </c>
      <c r="O24" s="11">
        <v>3.8</v>
      </c>
      <c r="P24" s="11">
        <v>10.7</v>
      </c>
      <c r="Q24" s="11">
        <v>10.199999999999999</v>
      </c>
      <c r="R24" s="11">
        <v>9</v>
      </c>
      <c r="S24" s="11">
        <v>3.7</v>
      </c>
      <c r="T24" s="5">
        <v>45972.688449074078</v>
      </c>
      <c r="U24" s="5">
        <v>45972.688530092593</v>
      </c>
      <c r="V24" s="6">
        <v>8.1018515629693866E-5</v>
      </c>
    </row>
    <row r="25" spans="1:22" x14ac:dyDescent="0.3">
      <c r="A25" s="2">
        <v>233</v>
      </c>
      <c r="B25" t="s">
        <v>340</v>
      </c>
      <c r="C25" t="s">
        <v>24</v>
      </c>
      <c r="D25" t="s">
        <v>311</v>
      </c>
      <c r="E25" t="s">
        <v>26</v>
      </c>
      <c r="F25" t="s">
        <v>307</v>
      </c>
      <c r="G25" s="11">
        <v>11.1</v>
      </c>
      <c r="H25" s="11">
        <v>36.200000000000003</v>
      </c>
      <c r="I25" s="11">
        <v>1.9</v>
      </c>
      <c r="J25" s="11">
        <v>4.7</v>
      </c>
      <c r="K25" s="11">
        <v>11.8</v>
      </c>
      <c r="L25" s="11">
        <v>6.2</v>
      </c>
      <c r="M25" s="4">
        <v>25</v>
      </c>
      <c r="N25" s="11">
        <v>2.5</v>
      </c>
      <c r="O25" s="11">
        <v>3.7</v>
      </c>
      <c r="P25" s="11">
        <v>9.8000000000000007</v>
      </c>
      <c r="Q25" s="11">
        <v>8.8000000000000007</v>
      </c>
      <c r="R25" s="11">
        <v>7.5</v>
      </c>
      <c r="S25" s="11">
        <v>2.6</v>
      </c>
      <c r="T25" s="5">
        <v>45973.38890046296</v>
      </c>
      <c r="U25" s="5">
        <v>45973.389027777775</v>
      </c>
      <c r="V25" s="6">
        <v>1.3888889225199819E-4</v>
      </c>
    </row>
    <row r="26" spans="1:22" x14ac:dyDescent="0.3">
      <c r="A26" s="2">
        <v>234</v>
      </c>
      <c r="B26" t="s">
        <v>341</v>
      </c>
      <c r="C26" t="s">
        <v>24</v>
      </c>
      <c r="D26" t="s">
        <v>311</v>
      </c>
      <c r="E26" t="s">
        <v>26</v>
      </c>
      <c r="F26" t="s">
        <v>307</v>
      </c>
      <c r="G26" s="11">
        <v>11.1</v>
      </c>
      <c r="H26" s="11">
        <v>36.6</v>
      </c>
      <c r="I26" s="11">
        <v>2</v>
      </c>
      <c r="J26" s="11">
        <v>4.9000000000000004</v>
      </c>
      <c r="K26" s="11">
        <v>12.1</v>
      </c>
      <c r="L26" s="11">
        <v>6.1</v>
      </c>
      <c r="M26" s="4">
        <v>25</v>
      </c>
      <c r="N26" s="11">
        <v>3.5</v>
      </c>
      <c r="O26" s="11">
        <v>4.9000000000000004</v>
      </c>
      <c r="P26" s="11">
        <v>10.6</v>
      </c>
      <c r="Q26" s="11">
        <v>11.8</v>
      </c>
      <c r="R26" s="11">
        <v>9.3000000000000007</v>
      </c>
      <c r="S26" s="11">
        <v>3.6</v>
      </c>
      <c r="T26" s="5">
        <v>45973.389155092591</v>
      </c>
      <c r="U26" s="5">
        <v>45973.389282407406</v>
      </c>
      <c r="V26" s="6">
        <v>1.3888889225199819E-4</v>
      </c>
    </row>
    <row r="27" spans="1:22" x14ac:dyDescent="0.3">
      <c r="A27" s="2">
        <v>235</v>
      </c>
      <c r="B27" t="s">
        <v>342</v>
      </c>
      <c r="C27" t="s">
        <v>24</v>
      </c>
      <c r="D27" t="s">
        <v>311</v>
      </c>
      <c r="E27" t="s">
        <v>286</v>
      </c>
      <c r="F27" t="s">
        <v>307</v>
      </c>
      <c r="G27" s="11">
        <v>11.1</v>
      </c>
      <c r="H27" s="11">
        <v>36.5</v>
      </c>
      <c r="I27" s="11">
        <v>1.8</v>
      </c>
      <c r="J27" s="11">
        <v>4.5999999999999996</v>
      </c>
      <c r="K27" s="11">
        <v>11.9</v>
      </c>
      <c r="L27" s="11">
        <v>6</v>
      </c>
      <c r="M27" s="4">
        <v>25</v>
      </c>
      <c r="N27" s="11">
        <v>2.9</v>
      </c>
      <c r="O27" s="11">
        <v>4.4000000000000004</v>
      </c>
      <c r="P27" s="11">
        <v>8.6999999999999993</v>
      </c>
      <c r="Q27" s="11">
        <v>10</v>
      </c>
      <c r="R27" s="11">
        <v>7.4</v>
      </c>
      <c r="S27" s="11">
        <v>3.2</v>
      </c>
      <c r="T27" s="5">
        <v>45973.405891203707</v>
      </c>
      <c r="U27" s="5">
        <v>45973.406030092592</v>
      </c>
      <c r="V27" s="6">
        <v>1.3888889225199819E-4</v>
      </c>
    </row>
    <row r="28" spans="1:22" x14ac:dyDescent="0.3">
      <c r="A28" s="2">
        <v>236</v>
      </c>
      <c r="B28" t="s">
        <v>343</v>
      </c>
      <c r="C28" t="s">
        <v>24</v>
      </c>
      <c r="D28" t="s">
        <v>311</v>
      </c>
      <c r="E28" t="s">
        <v>286</v>
      </c>
      <c r="F28" t="s">
        <v>307</v>
      </c>
      <c r="G28" s="11">
        <v>11.1</v>
      </c>
      <c r="H28" s="11">
        <v>36</v>
      </c>
      <c r="I28" s="11">
        <v>2</v>
      </c>
      <c r="J28" s="11">
        <v>4.9000000000000004</v>
      </c>
      <c r="K28" s="11">
        <v>12.4</v>
      </c>
      <c r="L28" s="11">
        <v>6.1</v>
      </c>
      <c r="M28" s="4">
        <v>25</v>
      </c>
      <c r="N28" s="11">
        <v>3.6</v>
      </c>
      <c r="O28" s="11">
        <v>5.9</v>
      </c>
      <c r="P28" s="11">
        <v>11.4</v>
      </c>
      <c r="Q28" s="11">
        <v>13.3</v>
      </c>
      <c r="R28" s="11">
        <v>9.1999999999999993</v>
      </c>
      <c r="S28" s="11">
        <v>4.4000000000000004</v>
      </c>
      <c r="T28" s="5">
        <v>45973.406134259261</v>
      </c>
      <c r="U28" s="5">
        <v>45973.406273148146</v>
      </c>
      <c r="V28" s="6">
        <v>1.3888889225199819E-4</v>
      </c>
    </row>
    <row r="29" spans="1:22" x14ac:dyDescent="0.3">
      <c r="A29" s="2">
        <v>237</v>
      </c>
      <c r="B29" t="s">
        <v>344</v>
      </c>
      <c r="C29" t="s">
        <v>24</v>
      </c>
      <c r="D29" t="s">
        <v>311</v>
      </c>
      <c r="E29" t="s">
        <v>345</v>
      </c>
      <c r="F29" t="s">
        <v>307</v>
      </c>
      <c r="G29" s="11">
        <v>11.6</v>
      </c>
      <c r="H29" s="11">
        <v>36</v>
      </c>
      <c r="I29" s="11">
        <v>2.1</v>
      </c>
      <c r="J29" s="11">
        <v>5.0999999999999996</v>
      </c>
      <c r="K29" s="11">
        <v>11.7</v>
      </c>
      <c r="L29" s="11">
        <v>5.3</v>
      </c>
      <c r="M29" s="4">
        <v>25</v>
      </c>
      <c r="N29" s="11">
        <v>4.5999999999999996</v>
      </c>
      <c r="O29" s="11">
        <v>8.4</v>
      </c>
      <c r="P29" s="11">
        <v>12.8</v>
      </c>
      <c r="Q29" s="11">
        <v>15.8</v>
      </c>
      <c r="R29" s="11">
        <v>14.7</v>
      </c>
      <c r="S29" s="11">
        <v>5</v>
      </c>
      <c r="T29" s="5">
        <v>45973.516053240739</v>
      </c>
      <c r="U29" s="5">
        <v>45973.516261574077</v>
      </c>
      <c r="V29" s="6">
        <v>2.0833333837799728E-4</v>
      </c>
    </row>
    <row r="30" spans="1:22" x14ac:dyDescent="0.3">
      <c r="A30" s="2">
        <v>238</v>
      </c>
      <c r="B30" t="s">
        <v>346</v>
      </c>
      <c r="C30" t="s">
        <v>24</v>
      </c>
      <c r="D30" t="s">
        <v>311</v>
      </c>
      <c r="E30" t="s">
        <v>345</v>
      </c>
      <c r="F30" t="s">
        <v>307</v>
      </c>
      <c r="G30" s="11">
        <v>11.7</v>
      </c>
      <c r="H30" s="11">
        <v>36.4</v>
      </c>
      <c r="I30" s="11">
        <v>1.7</v>
      </c>
      <c r="J30" s="11">
        <v>4.7</v>
      </c>
      <c r="K30" s="11">
        <v>11.7</v>
      </c>
      <c r="L30" s="11">
        <v>5.2</v>
      </c>
      <c r="M30" s="4">
        <v>25</v>
      </c>
      <c r="N30" s="11">
        <v>4</v>
      </c>
      <c r="O30" s="11">
        <v>8.1</v>
      </c>
      <c r="P30" s="11">
        <v>11.3</v>
      </c>
      <c r="Q30" s="11">
        <v>13.4</v>
      </c>
      <c r="R30" s="11">
        <v>13.3</v>
      </c>
      <c r="S30" s="11">
        <v>4.7</v>
      </c>
      <c r="T30" s="5">
        <v>45973.516342592593</v>
      </c>
      <c r="U30" s="5">
        <v>45973.516562500001</v>
      </c>
      <c r="V30" s="6">
        <v>2.0833333837799728E-4</v>
      </c>
    </row>
    <row r="31" spans="1:22" x14ac:dyDescent="0.3">
      <c r="A31" s="2">
        <v>239</v>
      </c>
      <c r="B31" t="s">
        <v>347</v>
      </c>
      <c r="C31" t="s">
        <v>24</v>
      </c>
      <c r="D31" t="s">
        <v>311</v>
      </c>
      <c r="E31" t="s">
        <v>348</v>
      </c>
      <c r="F31" t="s">
        <v>307</v>
      </c>
      <c r="G31" s="11">
        <v>11.5</v>
      </c>
      <c r="H31" s="11">
        <v>36.1</v>
      </c>
      <c r="I31" s="11">
        <v>2.2000000000000002</v>
      </c>
      <c r="J31" s="11">
        <v>5.3</v>
      </c>
      <c r="K31" s="11">
        <v>11.9</v>
      </c>
      <c r="L31" s="11">
        <v>5.2</v>
      </c>
      <c r="M31" s="4">
        <v>25</v>
      </c>
      <c r="N31" s="11">
        <v>4.8</v>
      </c>
      <c r="O31" s="11">
        <v>8.9</v>
      </c>
      <c r="P31" s="11">
        <v>14.1</v>
      </c>
      <c r="Q31" s="11">
        <v>18.8</v>
      </c>
      <c r="R31" s="11">
        <v>16</v>
      </c>
      <c r="S31" s="11">
        <v>6.3</v>
      </c>
      <c r="T31" s="5">
        <v>45973.518101851849</v>
      </c>
      <c r="U31" s="5">
        <v>45973.518287037034</v>
      </c>
      <c r="V31" s="6">
        <v>1.736111007630825E-4</v>
      </c>
    </row>
    <row r="32" spans="1:22" x14ac:dyDescent="0.3">
      <c r="A32" s="2">
        <v>240</v>
      </c>
      <c r="B32" t="s">
        <v>349</v>
      </c>
      <c r="C32" t="s">
        <v>24</v>
      </c>
      <c r="D32" t="s">
        <v>311</v>
      </c>
      <c r="E32" t="s">
        <v>348</v>
      </c>
      <c r="F32" t="s">
        <v>307</v>
      </c>
      <c r="G32" s="11">
        <v>11.4</v>
      </c>
      <c r="H32" s="11">
        <v>36</v>
      </c>
      <c r="I32" s="11">
        <v>2.2000000000000002</v>
      </c>
      <c r="J32" s="11">
        <v>5.7</v>
      </c>
      <c r="K32" s="11">
        <v>11.5</v>
      </c>
      <c r="L32" s="11">
        <v>5.0999999999999996</v>
      </c>
      <c r="M32" s="4">
        <v>25</v>
      </c>
      <c r="N32" s="11">
        <v>5.4</v>
      </c>
      <c r="O32" s="11">
        <v>10.199999999999999</v>
      </c>
      <c r="P32" s="11">
        <v>17.100000000000001</v>
      </c>
      <c r="Q32" s="11">
        <v>24.4</v>
      </c>
      <c r="R32" s="11">
        <v>21.2</v>
      </c>
      <c r="S32" s="11">
        <v>8.8000000000000007</v>
      </c>
      <c r="T32" s="5">
        <v>45973.518368055556</v>
      </c>
      <c r="U32" s="5">
        <v>45973.518622685187</v>
      </c>
      <c r="V32" s="6">
        <v>2.5462961639277637E-4</v>
      </c>
    </row>
    <row r="33" spans="1:22" x14ac:dyDescent="0.3">
      <c r="A33" s="2">
        <v>241</v>
      </c>
      <c r="B33" t="s">
        <v>350</v>
      </c>
      <c r="C33" t="s">
        <v>24</v>
      </c>
      <c r="D33" t="s">
        <v>351</v>
      </c>
      <c r="E33" t="s">
        <v>348</v>
      </c>
      <c r="F33" t="s">
        <v>307</v>
      </c>
      <c r="G33" s="11">
        <v>11.4</v>
      </c>
      <c r="H33" s="11">
        <v>36.299999999999997</v>
      </c>
      <c r="I33" s="11">
        <v>2.2999999999999998</v>
      </c>
      <c r="J33" s="11">
        <v>5.7</v>
      </c>
      <c r="K33" s="11">
        <v>11.4</v>
      </c>
      <c r="L33" s="11">
        <v>5.0999999999999996</v>
      </c>
      <c r="M33" s="4">
        <v>25</v>
      </c>
      <c r="N33" s="11">
        <v>5.7</v>
      </c>
      <c r="O33" s="11">
        <v>10.8</v>
      </c>
      <c r="P33" s="11">
        <v>18.2</v>
      </c>
      <c r="Q33" s="11">
        <v>24.9</v>
      </c>
      <c r="R33" s="11">
        <v>21.9</v>
      </c>
      <c r="S33" s="11">
        <v>8.6999999999999993</v>
      </c>
      <c r="T33" s="5">
        <v>45973.51871527778</v>
      </c>
      <c r="U33" s="5">
        <v>45973.518888888888</v>
      </c>
      <c r="V33" s="6">
        <v>1.736111007630825E-4</v>
      </c>
    </row>
    <row r="34" spans="1:22" x14ac:dyDescent="0.3">
      <c r="A34" s="2">
        <v>242</v>
      </c>
      <c r="B34" t="s">
        <v>352</v>
      </c>
      <c r="C34" t="s">
        <v>353</v>
      </c>
      <c r="D34" t="s">
        <v>311</v>
      </c>
      <c r="E34" t="s">
        <v>354</v>
      </c>
      <c r="F34" t="s">
        <v>307</v>
      </c>
      <c r="G34" s="11">
        <v>11</v>
      </c>
      <c r="H34" s="11">
        <v>35.200000000000003</v>
      </c>
      <c r="I34" s="11">
        <v>2.2000000000000002</v>
      </c>
      <c r="J34" s="11">
        <v>5.3</v>
      </c>
      <c r="K34" s="11">
        <v>12.1</v>
      </c>
      <c r="L34" s="11">
        <v>5.3</v>
      </c>
      <c r="M34" s="4">
        <v>25</v>
      </c>
      <c r="N34" s="11">
        <v>5.7</v>
      </c>
      <c r="O34" s="11">
        <v>8.3000000000000007</v>
      </c>
      <c r="P34" s="11">
        <v>12.9</v>
      </c>
      <c r="Q34" s="11">
        <v>18.2</v>
      </c>
      <c r="R34" s="11">
        <v>13.3</v>
      </c>
      <c r="S34" s="11">
        <v>6.1</v>
      </c>
      <c r="T34" s="5">
        <v>45974.488391203704</v>
      </c>
      <c r="U34" s="5">
        <v>45974.48877314815</v>
      </c>
      <c r="V34" s="6">
        <v>3.9351850864477456E-4</v>
      </c>
    </row>
    <row r="35" spans="1:22" x14ac:dyDescent="0.3">
      <c r="A35" s="2">
        <v>243</v>
      </c>
      <c r="B35" t="s">
        <v>355</v>
      </c>
      <c r="C35" t="s">
        <v>353</v>
      </c>
      <c r="D35" t="s">
        <v>311</v>
      </c>
      <c r="E35" t="s">
        <v>354</v>
      </c>
      <c r="F35" t="s">
        <v>307</v>
      </c>
      <c r="G35" s="11">
        <v>11.2</v>
      </c>
      <c r="H35" s="11">
        <v>35.200000000000003</v>
      </c>
      <c r="I35" s="11">
        <v>2.1</v>
      </c>
      <c r="J35" s="11">
        <v>5.2</v>
      </c>
      <c r="K35" s="11">
        <v>12.5</v>
      </c>
      <c r="L35" s="11">
        <v>5.3</v>
      </c>
      <c r="M35" s="4">
        <v>25</v>
      </c>
      <c r="N35" s="11">
        <v>5.0999999999999996</v>
      </c>
      <c r="O35" s="11">
        <v>8.4</v>
      </c>
      <c r="P35" s="11">
        <v>12.7</v>
      </c>
      <c r="Q35" s="11">
        <v>17.2</v>
      </c>
      <c r="R35" s="11">
        <v>12.6</v>
      </c>
      <c r="S35" s="11">
        <v>5.5</v>
      </c>
      <c r="T35" s="5">
        <v>45974.488993055558</v>
      </c>
      <c r="U35" s="5">
        <v>45974.489155092589</v>
      </c>
      <c r="V35" s="6">
        <v>1.6203703125938773E-4</v>
      </c>
    </row>
    <row r="36" spans="1:22" x14ac:dyDescent="0.3">
      <c r="A36" s="2">
        <v>244</v>
      </c>
      <c r="B36" t="s">
        <v>356</v>
      </c>
      <c r="C36" t="s">
        <v>353</v>
      </c>
      <c r="D36" t="s">
        <v>311</v>
      </c>
      <c r="E36" t="s">
        <v>354</v>
      </c>
      <c r="F36" t="s">
        <v>307</v>
      </c>
      <c r="G36" s="11">
        <v>11.1</v>
      </c>
      <c r="H36" s="11">
        <v>35.6</v>
      </c>
      <c r="I36" s="11">
        <v>2.2000000000000002</v>
      </c>
      <c r="J36" s="11">
        <v>5.2</v>
      </c>
      <c r="K36" s="11">
        <v>12.5</v>
      </c>
      <c r="L36" s="11">
        <v>5.2</v>
      </c>
      <c r="M36" s="4">
        <v>25</v>
      </c>
      <c r="N36" s="11">
        <v>5.0999999999999996</v>
      </c>
      <c r="O36" s="11">
        <v>8.1</v>
      </c>
      <c r="P36" s="11">
        <v>11.9</v>
      </c>
      <c r="Q36" s="11">
        <v>18.8</v>
      </c>
      <c r="R36" s="11">
        <v>11.3</v>
      </c>
      <c r="S36" s="11">
        <v>5.2</v>
      </c>
      <c r="T36" s="5">
        <v>45974.489386574074</v>
      </c>
      <c r="U36" s="5">
        <v>45974.489502314813</v>
      </c>
      <c r="V36" s="6">
        <v>1.1574075324460864E-4</v>
      </c>
    </row>
    <row r="37" spans="1:22" x14ac:dyDescent="0.3">
      <c r="A37" s="2">
        <v>245</v>
      </c>
      <c r="B37" t="s">
        <v>357</v>
      </c>
      <c r="C37" t="s">
        <v>353</v>
      </c>
      <c r="D37" t="s">
        <v>311</v>
      </c>
      <c r="E37" t="s">
        <v>358</v>
      </c>
      <c r="F37" t="s">
        <v>307</v>
      </c>
      <c r="G37" s="11">
        <v>10.7</v>
      </c>
      <c r="H37" s="11">
        <v>35.5</v>
      </c>
      <c r="I37" s="11">
        <v>2.2000000000000002</v>
      </c>
      <c r="J37" s="11">
        <v>4.9000000000000004</v>
      </c>
      <c r="K37" s="11">
        <v>12.4</v>
      </c>
      <c r="L37" s="11">
        <v>6</v>
      </c>
      <c r="M37" s="4">
        <v>25</v>
      </c>
      <c r="N37" s="11">
        <v>3.2</v>
      </c>
      <c r="O37" s="11">
        <v>5.0999999999999996</v>
      </c>
      <c r="P37" s="11">
        <v>10.199999999999999</v>
      </c>
      <c r="Q37" s="11">
        <v>10.6</v>
      </c>
      <c r="R37" s="11">
        <v>8.4</v>
      </c>
      <c r="S37" s="11">
        <v>3.6</v>
      </c>
      <c r="T37" s="5">
        <v>45974.578043981484</v>
      </c>
      <c r="U37" s="5">
        <v>45974.578240740739</v>
      </c>
      <c r="V37" s="6">
        <v>1.9675926887430251E-4</v>
      </c>
    </row>
    <row r="38" spans="1:22" x14ac:dyDescent="0.3">
      <c r="A38" s="2">
        <v>246</v>
      </c>
      <c r="B38" t="s">
        <v>359</v>
      </c>
      <c r="C38" t="s">
        <v>353</v>
      </c>
      <c r="D38" t="s">
        <v>311</v>
      </c>
      <c r="E38" t="s">
        <v>358</v>
      </c>
      <c r="F38" t="s">
        <v>307</v>
      </c>
      <c r="G38" s="11">
        <v>10.7</v>
      </c>
      <c r="H38" s="11">
        <v>35.5</v>
      </c>
      <c r="I38" s="11">
        <v>2.4</v>
      </c>
      <c r="J38" s="11">
        <v>5.2</v>
      </c>
      <c r="K38" s="11">
        <v>12.4</v>
      </c>
      <c r="L38" s="11">
        <v>5.9</v>
      </c>
      <c r="M38" s="4">
        <v>25</v>
      </c>
      <c r="N38" s="11">
        <v>3.8</v>
      </c>
      <c r="O38" s="11">
        <v>6</v>
      </c>
      <c r="P38" s="11">
        <v>11.7</v>
      </c>
      <c r="Q38" s="11">
        <v>14.3</v>
      </c>
      <c r="R38" s="11">
        <v>10.3</v>
      </c>
      <c r="S38" s="11">
        <v>4.3</v>
      </c>
      <c r="T38" s="5">
        <v>45974.578449074077</v>
      </c>
      <c r="U38" s="5">
        <v>45974.578576388885</v>
      </c>
      <c r="V38" s="6">
        <v>1.1574075324460864E-4</v>
      </c>
    </row>
    <row r="39" spans="1:22" x14ac:dyDescent="0.3">
      <c r="A39" s="2">
        <v>247</v>
      </c>
      <c r="B39" t="s">
        <v>360</v>
      </c>
      <c r="C39" t="s">
        <v>353</v>
      </c>
      <c r="D39" t="s">
        <v>311</v>
      </c>
      <c r="E39" t="s">
        <v>358</v>
      </c>
      <c r="F39" t="s">
        <v>307</v>
      </c>
      <c r="G39" s="11">
        <v>10.7</v>
      </c>
      <c r="H39" s="11">
        <v>35.799999999999997</v>
      </c>
      <c r="I39" s="11">
        <v>2</v>
      </c>
      <c r="J39" s="11">
        <v>4.9000000000000004</v>
      </c>
      <c r="K39" s="11">
        <v>12.5</v>
      </c>
      <c r="L39" s="11">
        <v>5.8</v>
      </c>
      <c r="M39" s="4">
        <v>25</v>
      </c>
      <c r="N39" s="11">
        <v>3.5</v>
      </c>
      <c r="O39" s="11">
        <v>5.0999999999999996</v>
      </c>
      <c r="P39" s="11">
        <v>9.6999999999999993</v>
      </c>
      <c r="Q39" s="11">
        <v>11.6</v>
      </c>
      <c r="R39" s="11">
        <v>8.3000000000000007</v>
      </c>
      <c r="S39" s="11">
        <v>4</v>
      </c>
      <c r="T39" s="5">
        <v>45974.578692129631</v>
      </c>
      <c r="U39" s="5">
        <v>45974.57880787037</v>
      </c>
      <c r="V39" s="6">
        <v>1.2731482274830341E-4</v>
      </c>
    </row>
    <row r="40" spans="1:22" x14ac:dyDescent="0.3">
      <c r="A40" s="2">
        <v>248</v>
      </c>
      <c r="B40" t="s">
        <v>361</v>
      </c>
      <c r="C40" t="s">
        <v>362</v>
      </c>
      <c r="D40" t="s">
        <v>311</v>
      </c>
      <c r="E40" t="s">
        <v>363</v>
      </c>
      <c r="F40" t="s">
        <v>307</v>
      </c>
      <c r="G40" s="11">
        <v>11.1</v>
      </c>
      <c r="H40" s="11">
        <v>35.299999999999997</v>
      </c>
      <c r="I40" s="11">
        <v>2.4</v>
      </c>
      <c r="J40" s="11">
        <v>5.4</v>
      </c>
      <c r="K40" s="11">
        <v>12</v>
      </c>
      <c r="L40" s="11">
        <v>5.4</v>
      </c>
      <c r="M40" s="4">
        <v>25</v>
      </c>
      <c r="N40" s="11">
        <v>7.9</v>
      </c>
      <c r="O40" s="11">
        <v>10.3</v>
      </c>
      <c r="P40" s="11">
        <v>13.8</v>
      </c>
      <c r="Q40" s="11">
        <v>19.5</v>
      </c>
      <c r="R40" s="11">
        <v>13.6</v>
      </c>
      <c r="S40" s="11">
        <v>5.9</v>
      </c>
      <c r="T40" s="5">
        <v>45974.669814814813</v>
      </c>
      <c r="U40" s="5">
        <v>45974.670011574075</v>
      </c>
      <c r="V40" s="6">
        <v>1.8518519937060773E-4</v>
      </c>
    </row>
    <row r="41" spans="1:22" x14ac:dyDescent="0.3">
      <c r="A41" s="2">
        <v>249</v>
      </c>
      <c r="B41" t="s">
        <v>364</v>
      </c>
      <c r="C41" t="s">
        <v>362</v>
      </c>
      <c r="D41" t="s">
        <v>311</v>
      </c>
      <c r="E41" t="s">
        <v>363</v>
      </c>
      <c r="F41" t="s">
        <v>307</v>
      </c>
      <c r="G41" s="11">
        <v>11.1</v>
      </c>
      <c r="H41" s="11">
        <v>35</v>
      </c>
      <c r="I41" s="11">
        <v>2.8</v>
      </c>
      <c r="J41" s="11">
        <v>6</v>
      </c>
      <c r="K41" s="11">
        <v>12.2</v>
      </c>
      <c r="L41" s="11">
        <v>5.3</v>
      </c>
      <c r="M41" s="4">
        <v>25</v>
      </c>
      <c r="N41" s="11">
        <v>9.8000000000000007</v>
      </c>
      <c r="O41" s="11">
        <v>13</v>
      </c>
      <c r="P41" s="11">
        <v>20.2</v>
      </c>
      <c r="Q41" s="11">
        <v>27.3</v>
      </c>
      <c r="R41" s="11">
        <v>20</v>
      </c>
      <c r="S41" s="11">
        <v>8.6</v>
      </c>
      <c r="T41" s="5">
        <v>45974.670104166667</v>
      </c>
      <c r="U41" s="5">
        <v>45974.670254629629</v>
      </c>
      <c r="V41" s="6">
        <v>1.5046296175569296E-4</v>
      </c>
    </row>
    <row r="42" spans="1:22" x14ac:dyDescent="0.3">
      <c r="A42" s="2">
        <v>250</v>
      </c>
      <c r="B42" t="s">
        <v>365</v>
      </c>
      <c r="C42" t="s">
        <v>362</v>
      </c>
      <c r="D42" t="s">
        <v>311</v>
      </c>
      <c r="E42" t="s">
        <v>363</v>
      </c>
      <c r="F42" t="s">
        <v>307</v>
      </c>
      <c r="G42" s="11">
        <v>11.1</v>
      </c>
      <c r="H42" s="11">
        <v>35.5</v>
      </c>
      <c r="I42" s="11">
        <v>2.9</v>
      </c>
      <c r="J42" s="11">
        <v>6</v>
      </c>
      <c r="K42" s="11">
        <v>12.4</v>
      </c>
      <c r="L42" s="11">
        <v>5.2</v>
      </c>
      <c r="M42" s="4">
        <v>25</v>
      </c>
      <c r="N42" s="11">
        <v>9.6999999999999993</v>
      </c>
      <c r="O42" s="11">
        <v>12.5</v>
      </c>
      <c r="P42" s="11">
        <v>21.3</v>
      </c>
      <c r="Q42" s="11">
        <v>27.8</v>
      </c>
      <c r="R42" s="11">
        <v>19.7</v>
      </c>
      <c r="S42" s="11">
        <v>8.6999999999999993</v>
      </c>
      <c r="T42" s="5">
        <v>45974.670358796298</v>
      </c>
      <c r="U42" s="5">
        <v>45974.670706018522</v>
      </c>
      <c r="V42" s="6">
        <v>3.4722223062999547E-4</v>
      </c>
    </row>
    <row r="43" spans="1:22" x14ac:dyDescent="0.3">
      <c r="A43" s="2">
        <v>251</v>
      </c>
      <c r="B43" t="s">
        <v>366</v>
      </c>
      <c r="C43" t="s">
        <v>362</v>
      </c>
      <c r="D43" t="s">
        <v>311</v>
      </c>
      <c r="E43" t="s">
        <v>367</v>
      </c>
      <c r="F43" t="s">
        <v>307</v>
      </c>
      <c r="G43" s="11">
        <v>10.6</v>
      </c>
      <c r="H43" s="11">
        <v>34.9</v>
      </c>
      <c r="I43" s="11">
        <v>2</v>
      </c>
      <c r="J43" s="11">
        <v>4.8</v>
      </c>
      <c r="K43" s="11">
        <v>12.4</v>
      </c>
      <c r="L43" s="11">
        <v>6.2</v>
      </c>
      <c r="M43" s="4">
        <v>25</v>
      </c>
      <c r="N43" s="11">
        <v>3.4</v>
      </c>
      <c r="O43" s="11">
        <v>5</v>
      </c>
      <c r="P43" s="11">
        <v>10</v>
      </c>
      <c r="Q43" s="11">
        <v>10.1</v>
      </c>
      <c r="R43" s="11">
        <v>7.3</v>
      </c>
      <c r="S43" s="11">
        <v>3.3</v>
      </c>
      <c r="T43" s="5">
        <v>45974.686527777776</v>
      </c>
      <c r="U43" s="5">
        <v>45974.686643518522</v>
      </c>
      <c r="V43" s="6">
        <v>1.1574075324460864E-4</v>
      </c>
    </row>
    <row r="44" spans="1:22" x14ac:dyDescent="0.3">
      <c r="A44" s="2">
        <v>252</v>
      </c>
      <c r="B44" t="s">
        <v>368</v>
      </c>
      <c r="C44" t="s">
        <v>362</v>
      </c>
      <c r="D44" t="s">
        <v>311</v>
      </c>
      <c r="E44" t="s">
        <v>367</v>
      </c>
      <c r="F44" t="s">
        <v>307</v>
      </c>
      <c r="G44" s="11">
        <v>10.5</v>
      </c>
      <c r="H44" s="11">
        <v>34.700000000000003</v>
      </c>
      <c r="I44" s="11">
        <v>2.1</v>
      </c>
      <c r="J44" s="11">
        <v>5</v>
      </c>
      <c r="K44" s="11">
        <v>12.7</v>
      </c>
      <c r="L44" s="11">
        <v>6.1</v>
      </c>
      <c r="M44" s="4">
        <v>25</v>
      </c>
      <c r="N44" s="11">
        <v>4.0999999999999996</v>
      </c>
      <c r="O44" s="11">
        <v>6.8</v>
      </c>
      <c r="P44" s="11">
        <v>10.7</v>
      </c>
      <c r="Q44" s="11">
        <v>12.4</v>
      </c>
      <c r="R44" s="11">
        <v>8.6</v>
      </c>
      <c r="S44" s="11">
        <v>4.4000000000000004</v>
      </c>
      <c r="T44" s="5">
        <v>45974.686747685184</v>
      </c>
      <c r="U44" s="5">
        <v>45974.686863425923</v>
      </c>
      <c r="V44" s="6">
        <v>1.1574075324460864E-4</v>
      </c>
    </row>
    <row r="45" spans="1:22" x14ac:dyDescent="0.3">
      <c r="A45" s="2">
        <v>253</v>
      </c>
      <c r="B45" t="s">
        <v>369</v>
      </c>
      <c r="C45" t="s">
        <v>362</v>
      </c>
      <c r="D45" t="s">
        <v>311</v>
      </c>
      <c r="E45" t="s">
        <v>367</v>
      </c>
      <c r="F45" t="s">
        <v>307</v>
      </c>
      <c r="G45" s="11">
        <v>10.6</v>
      </c>
      <c r="H45" s="11">
        <v>35.5</v>
      </c>
      <c r="I45" s="11">
        <v>2.2000000000000002</v>
      </c>
      <c r="J45" s="11">
        <v>5.2</v>
      </c>
      <c r="K45" s="11">
        <v>12.9</v>
      </c>
      <c r="L45" s="11">
        <v>6</v>
      </c>
      <c r="M45" s="4">
        <v>25</v>
      </c>
      <c r="N45" s="11">
        <v>4.3</v>
      </c>
      <c r="O45" s="11">
        <v>5.9</v>
      </c>
      <c r="P45" s="11">
        <v>11.6</v>
      </c>
      <c r="Q45" s="11">
        <v>13.9</v>
      </c>
      <c r="R45" s="11">
        <v>8.6</v>
      </c>
      <c r="S45" s="11">
        <v>4.4000000000000004</v>
      </c>
      <c r="T45" s="5">
        <v>45974.686967592592</v>
      </c>
      <c r="U45" s="5">
        <v>45974.68712962963</v>
      </c>
      <c r="V45" s="6">
        <v>1.6203703125938773E-4</v>
      </c>
    </row>
    <row r="46" spans="1:22" x14ac:dyDescent="0.3">
      <c r="A46" s="2">
        <v>254</v>
      </c>
      <c r="B46" t="s">
        <v>370</v>
      </c>
      <c r="C46" t="s">
        <v>353</v>
      </c>
      <c r="D46" t="s">
        <v>311</v>
      </c>
      <c r="E46" t="s">
        <v>371</v>
      </c>
      <c r="F46" t="s">
        <v>307</v>
      </c>
      <c r="G46" s="11">
        <v>11.2</v>
      </c>
      <c r="H46" s="11">
        <v>35.5</v>
      </c>
      <c r="I46" s="11">
        <v>2.2000000000000002</v>
      </c>
      <c r="J46" s="11">
        <v>5.0999999999999996</v>
      </c>
      <c r="K46" s="11">
        <v>11.7</v>
      </c>
      <c r="L46" s="11">
        <v>5.5</v>
      </c>
      <c r="M46" s="4">
        <v>25</v>
      </c>
      <c r="N46" s="11">
        <v>5</v>
      </c>
      <c r="O46" s="11">
        <v>7.4</v>
      </c>
      <c r="P46" s="11">
        <v>12.1</v>
      </c>
      <c r="Q46" s="11">
        <v>15.3</v>
      </c>
      <c r="R46" s="11">
        <v>13.3</v>
      </c>
      <c r="S46" s="11">
        <v>5.2</v>
      </c>
      <c r="T46" s="5">
        <v>45975.512939814813</v>
      </c>
      <c r="U46" s="5">
        <v>45975.513275462959</v>
      </c>
      <c r="V46" s="6">
        <v>3.2407406251877546E-4</v>
      </c>
    </row>
    <row r="47" spans="1:22" x14ac:dyDescent="0.3">
      <c r="A47" s="2">
        <v>255</v>
      </c>
      <c r="B47" t="s">
        <v>372</v>
      </c>
      <c r="C47" t="s">
        <v>353</v>
      </c>
      <c r="D47" t="s">
        <v>311</v>
      </c>
      <c r="E47" t="s">
        <v>371</v>
      </c>
      <c r="F47" t="s">
        <v>307</v>
      </c>
      <c r="G47" s="11">
        <v>11.2</v>
      </c>
      <c r="H47" s="11">
        <v>35.299999999999997</v>
      </c>
      <c r="I47" s="11">
        <v>2.2999999999999998</v>
      </c>
      <c r="J47" s="11">
        <v>5.2</v>
      </c>
      <c r="K47" s="11">
        <v>11.7</v>
      </c>
      <c r="L47" s="11">
        <v>5.5</v>
      </c>
      <c r="M47" s="4">
        <v>25</v>
      </c>
      <c r="N47" s="11">
        <v>5</v>
      </c>
      <c r="O47" s="11">
        <v>7.9</v>
      </c>
      <c r="P47" s="11">
        <v>12.9</v>
      </c>
      <c r="Q47" s="11">
        <v>16.5</v>
      </c>
      <c r="R47" s="11">
        <v>14.6</v>
      </c>
      <c r="S47" s="11">
        <v>5.5</v>
      </c>
      <c r="T47" s="5">
        <v>45975.513379629629</v>
      </c>
      <c r="U47" s="5">
        <v>45975.513506944444</v>
      </c>
      <c r="V47" s="6">
        <v>1.2731482274830341E-4</v>
      </c>
    </row>
    <row r="48" spans="1:22" x14ac:dyDescent="0.3">
      <c r="A48" s="2">
        <v>256</v>
      </c>
      <c r="B48" t="s">
        <v>373</v>
      </c>
      <c r="C48" t="s">
        <v>353</v>
      </c>
      <c r="D48" t="s">
        <v>311</v>
      </c>
      <c r="E48" t="s">
        <v>371</v>
      </c>
      <c r="F48" t="s">
        <v>307</v>
      </c>
      <c r="G48" s="11">
        <v>11.1</v>
      </c>
      <c r="H48" s="11">
        <v>35.200000000000003</v>
      </c>
      <c r="I48" s="11">
        <v>2.2000000000000002</v>
      </c>
      <c r="J48" s="11">
        <v>5.3</v>
      </c>
      <c r="K48" s="11">
        <v>11.8</v>
      </c>
      <c r="L48" s="11">
        <v>5.4</v>
      </c>
      <c r="M48" s="4">
        <v>25</v>
      </c>
      <c r="N48" s="11">
        <v>5.6</v>
      </c>
      <c r="O48" s="11">
        <v>8</v>
      </c>
      <c r="P48" s="11">
        <v>11.6</v>
      </c>
      <c r="Q48" s="11">
        <v>17.8</v>
      </c>
      <c r="R48" s="11">
        <v>12.9</v>
      </c>
      <c r="S48" s="11">
        <v>5</v>
      </c>
      <c r="T48" s="5">
        <v>45975.513668981483</v>
      </c>
      <c r="U48" s="5">
        <v>45975.513831018521</v>
      </c>
      <c r="V48" s="6">
        <v>1.6203703125938773E-4</v>
      </c>
    </row>
    <row r="49" spans="1:22" x14ac:dyDescent="0.3">
      <c r="A49" s="2">
        <v>257</v>
      </c>
      <c r="B49" t="s">
        <v>374</v>
      </c>
      <c r="C49" t="s">
        <v>353</v>
      </c>
      <c r="D49" t="s">
        <v>311</v>
      </c>
      <c r="E49" t="s">
        <v>375</v>
      </c>
      <c r="F49" t="s">
        <v>307</v>
      </c>
      <c r="G49" s="11">
        <v>10.7</v>
      </c>
      <c r="H49" s="11">
        <v>35.9</v>
      </c>
      <c r="I49" s="11">
        <v>2</v>
      </c>
      <c r="J49" s="11">
        <v>5.0999999999999996</v>
      </c>
      <c r="K49" s="11">
        <v>11.9</v>
      </c>
      <c r="L49" s="11">
        <v>6.1</v>
      </c>
      <c r="M49" s="4">
        <v>25</v>
      </c>
      <c r="N49" s="11">
        <v>3.4</v>
      </c>
      <c r="O49" s="11">
        <v>4.5</v>
      </c>
      <c r="P49" s="11">
        <v>11.1</v>
      </c>
      <c r="Q49" s="11">
        <v>14</v>
      </c>
      <c r="R49" s="11">
        <v>9.1999999999999993</v>
      </c>
      <c r="S49" s="11">
        <v>4</v>
      </c>
      <c r="T49" s="5">
        <v>45975.616400462961</v>
      </c>
      <c r="U49" s="5">
        <v>45975.616678240738</v>
      </c>
      <c r="V49" s="6">
        <v>2.7777778450399637E-4</v>
      </c>
    </row>
    <row r="50" spans="1:22" x14ac:dyDescent="0.3">
      <c r="A50" s="2">
        <v>258</v>
      </c>
      <c r="B50" t="s">
        <v>376</v>
      </c>
      <c r="C50" t="s">
        <v>353</v>
      </c>
      <c r="D50" t="s">
        <v>311</v>
      </c>
      <c r="E50" t="s">
        <v>375</v>
      </c>
      <c r="F50" t="s">
        <v>307</v>
      </c>
      <c r="G50" s="11">
        <v>10.7</v>
      </c>
      <c r="H50" s="11">
        <v>36.200000000000003</v>
      </c>
      <c r="I50" s="11">
        <v>2.1</v>
      </c>
      <c r="J50" s="11">
        <v>4.9000000000000004</v>
      </c>
      <c r="K50" s="11">
        <v>12.1</v>
      </c>
      <c r="L50" s="11">
        <v>6.1</v>
      </c>
      <c r="M50" s="4">
        <v>25</v>
      </c>
      <c r="N50" s="11">
        <v>3.4</v>
      </c>
      <c r="O50" s="11">
        <v>4.7</v>
      </c>
      <c r="P50" s="11">
        <v>10</v>
      </c>
      <c r="Q50" s="11">
        <v>11.7</v>
      </c>
      <c r="R50" s="11">
        <v>8.5</v>
      </c>
      <c r="S50" s="11">
        <v>3.5</v>
      </c>
      <c r="T50" s="5">
        <v>45975.616851851853</v>
      </c>
      <c r="U50" s="5">
        <v>45975.617060185185</v>
      </c>
      <c r="V50" s="6">
        <v>2.0833333837799728E-4</v>
      </c>
    </row>
    <row r="51" spans="1:22" x14ac:dyDescent="0.3">
      <c r="A51" s="2">
        <v>259</v>
      </c>
      <c r="B51" t="s">
        <v>377</v>
      </c>
      <c r="C51" t="s">
        <v>353</v>
      </c>
      <c r="D51" t="s">
        <v>311</v>
      </c>
      <c r="E51" t="s">
        <v>375</v>
      </c>
      <c r="F51" t="s">
        <v>307</v>
      </c>
      <c r="G51" s="11">
        <v>10.7</v>
      </c>
      <c r="H51" s="11">
        <v>35.4</v>
      </c>
      <c r="I51" s="11">
        <v>2.2000000000000002</v>
      </c>
      <c r="J51" s="11">
        <v>5.0999999999999996</v>
      </c>
      <c r="K51" s="11">
        <v>12.6</v>
      </c>
      <c r="L51" s="11">
        <v>6</v>
      </c>
      <c r="M51" s="4">
        <v>25</v>
      </c>
      <c r="N51" s="11">
        <v>4.2</v>
      </c>
      <c r="O51" s="11">
        <v>5.6</v>
      </c>
      <c r="P51" s="11">
        <v>10.9</v>
      </c>
      <c r="Q51" s="11">
        <v>13.1</v>
      </c>
      <c r="R51" s="11">
        <v>8.9</v>
      </c>
      <c r="S51" s="11">
        <v>3.9</v>
      </c>
      <c r="T51" s="5">
        <v>45975.617222222223</v>
      </c>
      <c r="U51" s="5">
        <v>45975.617384259262</v>
      </c>
      <c r="V51" s="6">
        <v>1.6203703125938773E-4</v>
      </c>
    </row>
    <row r="52" spans="1:22" x14ac:dyDescent="0.3">
      <c r="A52" s="2">
        <v>260</v>
      </c>
      <c r="B52" t="s">
        <v>378</v>
      </c>
      <c r="C52" t="s">
        <v>353</v>
      </c>
      <c r="D52" t="s">
        <v>311</v>
      </c>
      <c r="E52" t="s">
        <v>375</v>
      </c>
      <c r="F52" t="s">
        <v>307</v>
      </c>
      <c r="G52" s="11">
        <v>10.7</v>
      </c>
      <c r="H52" s="11">
        <v>35.1</v>
      </c>
      <c r="I52" s="11">
        <v>2</v>
      </c>
      <c r="J52" s="11">
        <v>4.8</v>
      </c>
      <c r="K52" s="11">
        <v>12</v>
      </c>
      <c r="L52" s="11">
        <v>6.1</v>
      </c>
      <c r="M52" s="4">
        <v>25</v>
      </c>
      <c r="N52" s="11">
        <v>3.1</v>
      </c>
      <c r="O52" s="11">
        <v>4.5</v>
      </c>
      <c r="P52" s="11">
        <v>9.6999999999999993</v>
      </c>
      <c r="Q52" s="11">
        <v>10</v>
      </c>
      <c r="R52" s="11">
        <v>7.8</v>
      </c>
      <c r="S52" s="11">
        <v>2.9</v>
      </c>
      <c r="T52" s="5">
        <v>45978.491793981484</v>
      </c>
      <c r="U52" s="5">
        <v>45978.492025462961</v>
      </c>
      <c r="V52" s="6">
        <v>2.430555468890816E-4</v>
      </c>
    </row>
    <row r="53" spans="1:22" x14ac:dyDescent="0.3">
      <c r="A53" s="2">
        <v>261</v>
      </c>
      <c r="B53" t="s">
        <v>379</v>
      </c>
      <c r="C53" t="s">
        <v>353</v>
      </c>
      <c r="D53" t="s">
        <v>311</v>
      </c>
      <c r="E53" t="s">
        <v>375</v>
      </c>
      <c r="F53" t="s">
        <v>307</v>
      </c>
      <c r="G53" s="11">
        <v>10.6</v>
      </c>
      <c r="H53" s="11">
        <v>35</v>
      </c>
      <c r="I53" s="11">
        <v>2.2999999999999998</v>
      </c>
      <c r="J53" s="11">
        <v>5</v>
      </c>
      <c r="K53" s="11">
        <v>12.4</v>
      </c>
      <c r="L53" s="11">
        <v>6</v>
      </c>
      <c r="M53" s="4">
        <v>25</v>
      </c>
      <c r="N53" s="11">
        <v>3.8</v>
      </c>
      <c r="O53" s="11">
        <v>5.5</v>
      </c>
      <c r="P53" s="11">
        <v>10.7</v>
      </c>
      <c r="Q53" s="11">
        <v>12</v>
      </c>
      <c r="R53" s="11">
        <v>9.1999999999999993</v>
      </c>
      <c r="S53" s="11">
        <v>3.8</v>
      </c>
      <c r="T53" s="5">
        <v>45978.492210648146</v>
      </c>
      <c r="U53" s="5">
        <v>45978.492407407408</v>
      </c>
      <c r="V53" s="6">
        <v>1.9675926887430251E-4</v>
      </c>
    </row>
    <row r="54" spans="1:22" x14ac:dyDescent="0.3">
      <c r="A54" s="2">
        <v>262</v>
      </c>
      <c r="B54" t="s">
        <v>380</v>
      </c>
      <c r="C54" t="s">
        <v>353</v>
      </c>
      <c r="D54" t="s">
        <v>311</v>
      </c>
      <c r="E54" t="s">
        <v>375</v>
      </c>
      <c r="F54" t="s">
        <v>307</v>
      </c>
      <c r="G54" s="11">
        <v>10.6</v>
      </c>
      <c r="H54" s="11">
        <v>35.5</v>
      </c>
      <c r="I54" s="11">
        <v>2.2000000000000002</v>
      </c>
      <c r="J54" s="11">
        <v>5.0999999999999996</v>
      </c>
      <c r="K54" s="11">
        <v>12.3</v>
      </c>
      <c r="L54" s="11">
        <v>6</v>
      </c>
      <c r="M54" s="4">
        <v>25</v>
      </c>
      <c r="N54" s="11">
        <v>3.8</v>
      </c>
      <c r="O54" s="11">
        <v>5.7</v>
      </c>
      <c r="P54" s="11">
        <v>10.8</v>
      </c>
      <c r="Q54" s="11">
        <v>12.7</v>
      </c>
      <c r="R54" s="11">
        <v>9.8000000000000007</v>
      </c>
      <c r="S54" s="11">
        <v>3.9</v>
      </c>
      <c r="T54" s="5">
        <v>45978.492546296293</v>
      </c>
      <c r="U54" s="5">
        <v>45978.492708333331</v>
      </c>
      <c r="V54" s="6">
        <v>1.6203703125938773E-4</v>
      </c>
    </row>
    <row r="55" spans="1:22" x14ac:dyDescent="0.3">
      <c r="A55" s="2">
        <v>263</v>
      </c>
      <c r="B55" t="s">
        <v>381</v>
      </c>
      <c r="C55" t="s">
        <v>353</v>
      </c>
      <c r="D55" t="s">
        <v>311</v>
      </c>
      <c r="E55" t="s">
        <v>382</v>
      </c>
      <c r="F55" t="s">
        <v>307</v>
      </c>
      <c r="G55" s="11">
        <v>11.2</v>
      </c>
      <c r="H55" s="11">
        <v>36.1</v>
      </c>
      <c r="I55" s="11">
        <v>2.1</v>
      </c>
      <c r="J55" s="11">
        <v>5</v>
      </c>
      <c r="K55" s="11">
        <v>12</v>
      </c>
      <c r="L55" s="11">
        <v>5.4</v>
      </c>
      <c r="M55" s="4">
        <v>25</v>
      </c>
      <c r="N55" s="11">
        <v>4.8</v>
      </c>
      <c r="O55" s="11">
        <v>6.6</v>
      </c>
      <c r="P55" s="11">
        <v>10.6</v>
      </c>
      <c r="Q55" s="11">
        <v>14.7</v>
      </c>
      <c r="R55" s="11">
        <v>10.6</v>
      </c>
      <c r="S55" s="11">
        <v>4.3</v>
      </c>
      <c r="T55" s="5">
        <v>45978.50917824074</v>
      </c>
      <c r="U55" s="5">
        <v>45978.509363425925</v>
      </c>
      <c r="V55" s="6">
        <v>1.8518519937060773E-4</v>
      </c>
    </row>
    <row r="56" spans="1:22" x14ac:dyDescent="0.3">
      <c r="A56" s="2">
        <v>264</v>
      </c>
      <c r="B56" t="s">
        <v>383</v>
      </c>
      <c r="C56" t="s">
        <v>353</v>
      </c>
      <c r="D56" t="s">
        <v>311</v>
      </c>
      <c r="E56" t="s">
        <v>382</v>
      </c>
      <c r="F56" t="s">
        <v>307</v>
      </c>
      <c r="G56" s="11">
        <v>11.1</v>
      </c>
      <c r="H56" s="11">
        <v>35.9</v>
      </c>
      <c r="I56" s="11">
        <v>1.9</v>
      </c>
      <c r="J56" s="11">
        <v>5.0999999999999996</v>
      </c>
      <c r="K56" s="11">
        <v>11.4</v>
      </c>
      <c r="L56" s="11">
        <v>5.4</v>
      </c>
      <c r="M56" s="4">
        <v>25</v>
      </c>
      <c r="N56" s="11">
        <v>4.2</v>
      </c>
      <c r="O56" s="11">
        <v>6.4</v>
      </c>
      <c r="P56" s="11">
        <v>10.6</v>
      </c>
      <c r="Q56" s="11">
        <v>16.5</v>
      </c>
      <c r="R56" s="11">
        <v>13.9</v>
      </c>
      <c r="S56" s="11">
        <v>5</v>
      </c>
      <c r="T56" s="5">
        <v>45978.509432870371</v>
      </c>
      <c r="U56" s="5">
        <v>45978.509571759256</v>
      </c>
      <c r="V56" s="6">
        <v>1.3888889225199819E-4</v>
      </c>
    </row>
    <row r="57" spans="1:22" x14ac:dyDescent="0.3">
      <c r="A57" s="2">
        <v>265</v>
      </c>
      <c r="B57" t="s">
        <v>384</v>
      </c>
      <c r="C57" t="s">
        <v>353</v>
      </c>
      <c r="D57" t="s">
        <v>311</v>
      </c>
      <c r="E57" t="s">
        <v>382</v>
      </c>
      <c r="F57" t="s">
        <v>307</v>
      </c>
      <c r="G57" s="11">
        <v>11.2</v>
      </c>
      <c r="H57" s="11">
        <v>35.4</v>
      </c>
      <c r="I57" s="11">
        <v>2</v>
      </c>
      <c r="J57" s="11">
        <v>5</v>
      </c>
      <c r="K57" s="11">
        <v>11.8</v>
      </c>
      <c r="L57" s="11">
        <v>5.4</v>
      </c>
      <c r="M57" s="4">
        <v>25</v>
      </c>
      <c r="N57" s="11">
        <v>4.8</v>
      </c>
      <c r="O57" s="11">
        <v>7.4</v>
      </c>
      <c r="P57" s="11">
        <v>11.4</v>
      </c>
      <c r="Q57" s="11">
        <v>14.9</v>
      </c>
      <c r="R57" s="11">
        <v>13.1</v>
      </c>
      <c r="S57" s="11">
        <v>4.8</v>
      </c>
      <c r="T57" s="5">
        <v>45978.509675925925</v>
      </c>
      <c r="U57" s="5">
        <v>45978.509826388887</v>
      </c>
      <c r="V57" s="6">
        <v>1.5046296175569296E-4</v>
      </c>
    </row>
    <row r="58" spans="1:22" x14ac:dyDescent="0.3">
      <c r="A58" s="2">
        <v>266</v>
      </c>
      <c r="B58" t="s">
        <v>385</v>
      </c>
      <c r="C58" t="s">
        <v>353</v>
      </c>
      <c r="D58" t="s">
        <v>311</v>
      </c>
      <c r="E58" t="s">
        <v>386</v>
      </c>
      <c r="F58" t="s">
        <v>307</v>
      </c>
      <c r="G58" s="11">
        <v>11.2</v>
      </c>
      <c r="H58" s="11">
        <v>35.799999999999997</v>
      </c>
      <c r="I58" s="11">
        <v>1.8</v>
      </c>
      <c r="J58" s="11">
        <v>5.3</v>
      </c>
      <c r="K58" s="11">
        <v>11.8</v>
      </c>
      <c r="L58" s="11">
        <v>5.2</v>
      </c>
      <c r="M58" s="4">
        <v>25</v>
      </c>
      <c r="N58" s="11">
        <v>5</v>
      </c>
      <c r="O58" s="11">
        <v>7</v>
      </c>
      <c r="P58" s="11">
        <v>12.4</v>
      </c>
      <c r="Q58" s="11">
        <v>21.2</v>
      </c>
      <c r="R58" s="11">
        <v>13.3</v>
      </c>
      <c r="S58" s="11">
        <v>6.4</v>
      </c>
      <c r="T58" s="5">
        <v>45978.533472222225</v>
      </c>
      <c r="U58" s="5">
        <v>45978.53361111111</v>
      </c>
      <c r="V58" s="6">
        <v>1.5046296175569296E-4</v>
      </c>
    </row>
    <row r="59" spans="1:22" x14ac:dyDescent="0.3">
      <c r="A59" s="2">
        <v>267</v>
      </c>
      <c r="B59" t="s">
        <v>387</v>
      </c>
      <c r="C59" t="s">
        <v>353</v>
      </c>
      <c r="D59" t="s">
        <v>311</v>
      </c>
      <c r="E59" t="s">
        <v>386</v>
      </c>
      <c r="F59" t="s">
        <v>307</v>
      </c>
      <c r="G59" s="11">
        <v>11.2</v>
      </c>
      <c r="H59" s="11">
        <v>35.4</v>
      </c>
      <c r="I59" s="11">
        <v>2.2000000000000002</v>
      </c>
      <c r="J59" s="11">
        <v>5.4</v>
      </c>
      <c r="K59" s="11">
        <v>12.3</v>
      </c>
      <c r="L59" s="11">
        <v>5.3</v>
      </c>
      <c r="M59" s="4">
        <v>25</v>
      </c>
      <c r="N59" s="11">
        <v>5.4</v>
      </c>
      <c r="O59" s="11">
        <v>7.9</v>
      </c>
      <c r="P59" s="11">
        <v>12.2</v>
      </c>
      <c r="Q59" s="11">
        <v>19.7</v>
      </c>
      <c r="R59" s="11">
        <v>12.2</v>
      </c>
      <c r="S59" s="11">
        <v>6.4</v>
      </c>
      <c r="T59" s="5">
        <v>45978.533680555556</v>
      </c>
      <c r="U59" s="5">
        <v>45978.533831018518</v>
      </c>
      <c r="V59" s="6">
        <v>1.5046296175569296E-4</v>
      </c>
    </row>
    <row r="60" spans="1:22" x14ac:dyDescent="0.3">
      <c r="A60" s="2">
        <v>268</v>
      </c>
      <c r="B60" t="s">
        <v>388</v>
      </c>
      <c r="C60" t="s">
        <v>353</v>
      </c>
      <c r="D60" t="s">
        <v>311</v>
      </c>
      <c r="E60" t="s">
        <v>386</v>
      </c>
      <c r="F60" t="s">
        <v>307</v>
      </c>
      <c r="G60" s="11">
        <v>11.3</v>
      </c>
      <c r="H60" s="11">
        <v>35.299999999999997</v>
      </c>
      <c r="I60" s="11">
        <v>2.1</v>
      </c>
      <c r="J60" s="11">
        <v>5.5</v>
      </c>
      <c r="K60" s="11">
        <v>12.3</v>
      </c>
      <c r="L60" s="11">
        <v>5.3</v>
      </c>
      <c r="M60" s="4">
        <v>25</v>
      </c>
      <c r="N60" s="11">
        <v>5.0999999999999996</v>
      </c>
      <c r="O60" s="11">
        <v>8</v>
      </c>
      <c r="P60" s="11">
        <v>13.1</v>
      </c>
      <c r="Q60" s="11">
        <v>20.399999999999999</v>
      </c>
      <c r="R60" s="11">
        <v>13.8</v>
      </c>
      <c r="S60" s="11">
        <v>6.1</v>
      </c>
      <c r="T60" s="5">
        <v>45978.534155092595</v>
      </c>
      <c r="U60" s="5">
        <v>45978.53434027778</v>
      </c>
      <c r="V60" s="6">
        <v>1.8518519937060773E-4</v>
      </c>
    </row>
    <row r="61" spans="1:22" x14ac:dyDescent="0.3">
      <c r="A61" s="2">
        <v>269</v>
      </c>
      <c r="B61" t="s">
        <v>389</v>
      </c>
      <c r="C61" t="s">
        <v>353</v>
      </c>
      <c r="D61" t="s">
        <v>311</v>
      </c>
      <c r="E61" t="s">
        <v>390</v>
      </c>
      <c r="F61" t="s">
        <v>307</v>
      </c>
      <c r="G61" s="11">
        <v>10.8</v>
      </c>
      <c r="H61" s="11">
        <v>36</v>
      </c>
      <c r="I61" s="11">
        <v>2.1</v>
      </c>
      <c r="J61" s="11">
        <v>5.0999999999999996</v>
      </c>
      <c r="K61" s="11">
        <v>11.9</v>
      </c>
      <c r="L61" s="11">
        <v>6</v>
      </c>
      <c r="M61" s="4">
        <v>25</v>
      </c>
      <c r="N61" s="11">
        <v>3.7</v>
      </c>
      <c r="O61" s="11">
        <v>4.5999999999999996</v>
      </c>
      <c r="P61" s="11">
        <v>9.8000000000000007</v>
      </c>
      <c r="Q61" s="11">
        <v>12.9</v>
      </c>
      <c r="R61" s="11">
        <v>8.9</v>
      </c>
      <c r="S61" s="11">
        <v>3.6</v>
      </c>
      <c r="T61" s="5">
        <v>45978.544895833336</v>
      </c>
      <c r="U61" s="5">
        <v>45978.545162037037</v>
      </c>
      <c r="V61" s="6">
        <v>2.662037150003016E-4</v>
      </c>
    </row>
    <row r="62" spans="1:22" x14ac:dyDescent="0.3">
      <c r="A62" s="2">
        <v>270</v>
      </c>
      <c r="B62" t="s">
        <v>391</v>
      </c>
      <c r="C62" t="s">
        <v>353</v>
      </c>
      <c r="D62" t="s">
        <v>311</v>
      </c>
      <c r="E62" t="s">
        <v>390</v>
      </c>
      <c r="F62" t="s">
        <v>307</v>
      </c>
      <c r="G62" s="11">
        <v>10.6</v>
      </c>
      <c r="H62" s="11">
        <v>36.9</v>
      </c>
      <c r="I62" s="11">
        <v>2</v>
      </c>
      <c r="J62" s="11">
        <v>5.0999999999999996</v>
      </c>
      <c r="K62" s="11">
        <v>11.8</v>
      </c>
      <c r="L62" s="11">
        <v>6</v>
      </c>
      <c r="M62" s="4">
        <v>25</v>
      </c>
      <c r="N62" s="11">
        <v>3.6</v>
      </c>
      <c r="O62" s="11">
        <v>5.3</v>
      </c>
      <c r="P62" s="11">
        <v>10.5</v>
      </c>
      <c r="Q62" s="11">
        <v>14.7</v>
      </c>
      <c r="R62" s="11">
        <v>9.6999999999999993</v>
      </c>
      <c r="S62" s="11">
        <v>4.5999999999999996</v>
      </c>
      <c r="T62" s="5">
        <v>45978.545300925929</v>
      </c>
      <c r="U62" s="5">
        <v>45978.545694444445</v>
      </c>
      <c r="V62" s="6">
        <v>3.9351850864477456E-4</v>
      </c>
    </row>
    <row r="63" spans="1:22" x14ac:dyDescent="0.3">
      <c r="A63" s="2">
        <v>271</v>
      </c>
      <c r="B63" t="s">
        <v>392</v>
      </c>
      <c r="C63" t="s">
        <v>353</v>
      </c>
      <c r="D63" t="s">
        <v>311</v>
      </c>
      <c r="E63" t="s">
        <v>390</v>
      </c>
      <c r="F63" t="s">
        <v>307</v>
      </c>
      <c r="G63" s="11">
        <v>10.7</v>
      </c>
      <c r="H63" s="11">
        <v>35.799999999999997</v>
      </c>
      <c r="I63" s="11">
        <v>2.1</v>
      </c>
      <c r="J63" s="11">
        <v>5.4</v>
      </c>
      <c r="K63" s="11">
        <v>12.3</v>
      </c>
      <c r="L63" s="11">
        <v>5.8</v>
      </c>
      <c r="M63" s="4">
        <v>25</v>
      </c>
      <c r="N63" s="11">
        <v>4.7</v>
      </c>
      <c r="O63" s="11">
        <v>5.9</v>
      </c>
      <c r="P63" s="11">
        <v>11.1</v>
      </c>
      <c r="Q63" s="11">
        <v>17.600000000000001</v>
      </c>
      <c r="R63" s="11">
        <v>9.9</v>
      </c>
      <c r="S63" s="11">
        <v>5.8</v>
      </c>
      <c r="T63" s="5">
        <v>45978.545798611114</v>
      </c>
      <c r="U63" s="5">
        <v>45978.546226851853</v>
      </c>
      <c r="V63" s="6">
        <v>4.2824074625968933E-4</v>
      </c>
    </row>
    <row r="64" spans="1:22" x14ac:dyDescent="0.3">
      <c r="B64" s="1" t="s">
        <v>42</v>
      </c>
      <c r="G64" s="9">
        <f t="shared" ref="G64:S64" si="0">AVERAGE(G4:G63)</f>
        <v>13.846666666666684</v>
      </c>
      <c r="H64" s="9">
        <f t="shared" si="0"/>
        <v>35.858620689655176</v>
      </c>
      <c r="I64" s="9">
        <f t="shared" si="0"/>
        <v>1.9508771929824562</v>
      </c>
      <c r="J64" s="9">
        <f t="shared" si="0"/>
        <v>5.7883333333333349</v>
      </c>
      <c r="K64" s="9">
        <f t="shared" si="0"/>
        <v>12.108620689655162</v>
      </c>
      <c r="L64" s="9">
        <f t="shared" si="0"/>
        <v>5.6551724137931032</v>
      </c>
      <c r="M64" s="10">
        <f t="shared" si="0"/>
        <v>25</v>
      </c>
      <c r="N64" s="9">
        <f t="shared" si="0"/>
        <v>6.0051724137931037</v>
      </c>
      <c r="O64" s="9">
        <f t="shared" si="0"/>
        <v>7.977586206896552</v>
      </c>
      <c r="P64" s="9">
        <f t="shared" si="0"/>
        <v>12.898275862068967</v>
      </c>
      <c r="Q64" s="9">
        <f t="shared" si="0"/>
        <v>16.463793103448275</v>
      </c>
      <c r="R64" s="9">
        <f t="shared" si="0"/>
        <v>12.374137931034481</v>
      </c>
      <c r="S64" s="9">
        <f t="shared" si="0"/>
        <v>5.9534482758620673</v>
      </c>
    </row>
    <row r="65" spans="2:19" x14ac:dyDescent="0.3">
      <c r="B65" s="1" t="s">
        <v>43</v>
      </c>
      <c r="G65" s="9">
        <f t="shared" ref="G65:S65" si="1">MIN(G4:G63)</f>
        <v>10.5</v>
      </c>
      <c r="H65" s="9">
        <f t="shared" si="1"/>
        <v>34.6</v>
      </c>
      <c r="I65" s="9">
        <f t="shared" si="1"/>
        <v>0.2</v>
      </c>
      <c r="J65" s="9">
        <f t="shared" si="1"/>
        <v>3.1</v>
      </c>
      <c r="K65" s="9">
        <f t="shared" si="1"/>
        <v>10.7</v>
      </c>
      <c r="L65" s="9">
        <f t="shared" si="1"/>
        <v>5.0999999999999996</v>
      </c>
      <c r="M65" s="10">
        <f t="shared" si="1"/>
        <v>25</v>
      </c>
      <c r="N65" s="9">
        <f t="shared" si="1"/>
        <v>2.5</v>
      </c>
      <c r="O65" s="9">
        <f t="shared" si="1"/>
        <v>3.7</v>
      </c>
      <c r="P65" s="9">
        <f t="shared" si="1"/>
        <v>8.3000000000000007</v>
      </c>
      <c r="Q65" s="9">
        <f t="shared" si="1"/>
        <v>8.8000000000000007</v>
      </c>
      <c r="R65" s="9">
        <f t="shared" si="1"/>
        <v>7.3</v>
      </c>
      <c r="S65" s="9">
        <f t="shared" si="1"/>
        <v>2.6</v>
      </c>
    </row>
    <row r="66" spans="2:19" x14ac:dyDescent="0.3">
      <c r="B66" s="1" t="s">
        <v>44</v>
      </c>
      <c r="G66" s="9">
        <f t="shared" ref="G66:S66" si="2">MAX(G4:G63)</f>
        <v>82.8</v>
      </c>
      <c r="H66" s="9">
        <f t="shared" si="2"/>
        <v>37.200000000000003</v>
      </c>
      <c r="I66" s="9">
        <f t="shared" si="2"/>
        <v>2.9</v>
      </c>
      <c r="J66" s="9">
        <f t="shared" si="2"/>
        <v>30.7</v>
      </c>
      <c r="K66" s="9">
        <f t="shared" si="2"/>
        <v>14</v>
      </c>
      <c r="L66" s="9">
        <f t="shared" si="2"/>
        <v>6.2</v>
      </c>
      <c r="M66" s="10">
        <f t="shared" si="2"/>
        <v>25</v>
      </c>
      <c r="N66" s="9">
        <f t="shared" si="2"/>
        <v>16.5</v>
      </c>
      <c r="O66" s="9">
        <f t="shared" si="2"/>
        <v>17.399999999999999</v>
      </c>
      <c r="P66" s="9">
        <f t="shared" si="2"/>
        <v>26.7</v>
      </c>
      <c r="Q66" s="9">
        <f t="shared" si="2"/>
        <v>27.8</v>
      </c>
      <c r="R66" s="9">
        <f t="shared" si="2"/>
        <v>21.9</v>
      </c>
      <c r="S66" s="9">
        <f t="shared" si="2"/>
        <v>14.8</v>
      </c>
    </row>
    <row r="67" spans="2:19" x14ac:dyDescent="0.3">
      <c r="B67" s="1" t="s">
        <v>45</v>
      </c>
      <c r="G67" s="9">
        <f t="shared" ref="G67:S67" si="3">STDEV(G4:G63)</f>
        <v>12.4437645765322</v>
      </c>
      <c r="H67" s="9">
        <f t="shared" si="3"/>
        <v>0.64618569998311959</v>
      </c>
      <c r="I67" s="9">
        <f t="shared" si="3"/>
        <v>0.58129252748187432</v>
      </c>
      <c r="J67" s="9">
        <f t="shared" si="3"/>
        <v>4.6701755371744467</v>
      </c>
      <c r="K67" s="9">
        <f t="shared" si="3"/>
        <v>0.65728961886918635</v>
      </c>
      <c r="L67" s="9">
        <f t="shared" si="3"/>
        <v>0.34395655263832869</v>
      </c>
      <c r="M67" s="10">
        <f t="shared" si="3"/>
        <v>0</v>
      </c>
      <c r="N67" s="9">
        <f t="shared" si="3"/>
        <v>3.929841852708047</v>
      </c>
      <c r="O67" s="9">
        <f t="shared" si="3"/>
        <v>3.722291460983167</v>
      </c>
      <c r="P67" s="9">
        <f t="shared" si="3"/>
        <v>4.050622277483499</v>
      </c>
      <c r="Q67" s="9">
        <f t="shared" si="3"/>
        <v>4.7046337096959849</v>
      </c>
      <c r="R67" s="9">
        <f t="shared" si="3"/>
        <v>3.765427230242985</v>
      </c>
      <c r="S67" s="9">
        <f t="shared" si="3"/>
        <v>3.0626909116142809</v>
      </c>
    </row>
    <row r="69" spans="2:19" x14ac:dyDescent="0.3">
      <c r="B69" s="1" t="s">
        <v>46</v>
      </c>
      <c r="G69" s="9" t="s">
        <v>47</v>
      </c>
      <c r="H69" s="9" t="s">
        <v>47</v>
      </c>
      <c r="I69" s="9" t="s">
        <v>47</v>
      </c>
      <c r="J69" s="9" t="s">
        <v>47</v>
      </c>
      <c r="K69" s="9" t="s">
        <v>47</v>
      </c>
      <c r="L69" s="9" t="s">
        <v>47</v>
      </c>
      <c r="M69" s="10" t="s">
        <v>47</v>
      </c>
      <c r="N69" s="9" t="s">
        <v>47</v>
      </c>
      <c r="O69" s="9" t="s">
        <v>47</v>
      </c>
      <c r="P69" s="9" t="s">
        <v>47</v>
      </c>
      <c r="Q69" s="9" t="s">
        <v>47</v>
      </c>
      <c r="R69" s="9" t="s">
        <v>47</v>
      </c>
      <c r="S69" s="9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C39D-B5A0-401D-BDA8-AA70D7CC61B4}">
  <sheetPr filterMode="1"/>
  <dimension ref="A1:Z93"/>
  <sheetViews>
    <sheetView tabSelected="1" workbookViewId="0">
      <selection activeCell="J96" sqref="J96"/>
    </sheetView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14.33203125" customWidth="1"/>
    <col min="4" max="4" width="14.77734375" bestFit="1" customWidth="1"/>
    <col min="5" max="5" width="16" customWidth="1"/>
    <col min="7" max="23" width="11.6640625" bestFit="1" customWidth="1"/>
    <col min="24" max="25" width="17.88671875" bestFit="1" customWidth="1"/>
    <col min="26" max="26" width="11.6640625" bestFit="1" customWidth="1"/>
  </cols>
  <sheetData>
    <row r="1" spans="1:26" s="1" customFormat="1" ht="13.8" x14ac:dyDescent="0.25">
      <c r="A1" s="1" t="s">
        <v>0</v>
      </c>
    </row>
    <row r="3" spans="1:26" x14ac:dyDescent="0.3">
      <c r="A3" s="2" t="s">
        <v>1</v>
      </c>
      <c r="B3" s="2" t="s">
        <v>393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394</v>
      </c>
      <c r="N3" s="2" t="s">
        <v>395</v>
      </c>
      <c r="O3" s="2" t="s">
        <v>19</v>
      </c>
      <c r="P3" s="2" t="s">
        <v>13</v>
      </c>
      <c r="Q3" s="2" t="s">
        <v>14</v>
      </c>
      <c r="R3" s="2" t="s">
        <v>396</v>
      </c>
      <c r="S3" s="2" t="s">
        <v>16</v>
      </c>
      <c r="T3" s="2" t="s">
        <v>17</v>
      </c>
      <c r="U3" s="2" t="s">
        <v>18</v>
      </c>
      <c r="V3" s="2" t="s">
        <v>397</v>
      </c>
      <c r="W3" s="2" t="s">
        <v>398</v>
      </c>
      <c r="X3" s="2" t="s">
        <v>20</v>
      </c>
      <c r="Y3" s="2" t="s">
        <v>21</v>
      </c>
      <c r="Z3" s="2" t="s">
        <v>22</v>
      </c>
    </row>
    <row r="4" spans="1:26" hidden="1" x14ac:dyDescent="0.3">
      <c r="A4" s="2">
        <v>272</v>
      </c>
      <c r="B4" t="s">
        <v>399</v>
      </c>
      <c r="C4" t="s">
        <v>24</v>
      </c>
      <c r="D4" t="s">
        <v>400</v>
      </c>
      <c r="E4" t="s">
        <v>26</v>
      </c>
      <c r="F4" t="s">
        <v>393</v>
      </c>
      <c r="G4" s="11">
        <v>13</v>
      </c>
      <c r="H4" s="11">
        <v>15</v>
      </c>
      <c r="I4" s="11">
        <v>4.9000000000000004</v>
      </c>
      <c r="J4" s="11">
        <v>3.1</v>
      </c>
      <c r="K4" s="7">
        <v>3.99</v>
      </c>
      <c r="L4" s="11">
        <v>46.6</v>
      </c>
      <c r="M4" s="7">
        <v>0.35</v>
      </c>
      <c r="N4" s="7">
        <v>0.49</v>
      </c>
      <c r="O4" s="4">
        <v>25</v>
      </c>
      <c r="P4" s="11">
        <v>0.7</v>
      </c>
      <c r="Q4" s="11">
        <v>1.7</v>
      </c>
      <c r="R4" s="11">
        <v>1.2</v>
      </c>
      <c r="S4" s="11">
        <v>1</v>
      </c>
      <c r="T4" s="11">
        <v>1</v>
      </c>
      <c r="U4" s="11">
        <v>1.5</v>
      </c>
      <c r="V4" s="11">
        <v>2.8</v>
      </c>
      <c r="W4" s="11">
        <v>0.7</v>
      </c>
      <c r="X4" s="5">
        <v>45972.414687500001</v>
      </c>
      <c r="Y4" s="5">
        <v>45972.414803240739</v>
      </c>
      <c r="Z4" s="6">
        <v>1.2731482274830341E-4</v>
      </c>
    </row>
    <row r="5" spans="1:26" hidden="1" x14ac:dyDescent="0.3">
      <c r="A5" s="2">
        <v>273</v>
      </c>
      <c r="B5" t="s">
        <v>401</v>
      </c>
      <c r="C5" t="s">
        <v>24</v>
      </c>
      <c r="D5" t="s">
        <v>402</v>
      </c>
      <c r="E5" t="s">
        <v>26</v>
      </c>
      <c r="F5" t="s">
        <v>393</v>
      </c>
      <c r="G5" s="11">
        <v>13</v>
      </c>
      <c r="H5" s="11">
        <v>14.9</v>
      </c>
      <c r="I5" s="11">
        <v>4.9000000000000004</v>
      </c>
      <c r="J5" s="11">
        <v>3.1</v>
      </c>
      <c r="K5" s="7">
        <v>3.95</v>
      </c>
      <c r="L5" s="11">
        <v>46.7</v>
      </c>
      <c r="M5" s="7">
        <v>0.39</v>
      </c>
      <c r="N5" s="7">
        <v>0.5</v>
      </c>
      <c r="O5" s="4">
        <v>25</v>
      </c>
      <c r="P5" s="11">
        <v>1</v>
      </c>
      <c r="Q5" s="11">
        <v>1.6</v>
      </c>
      <c r="R5" s="11">
        <v>1.7</v>
      </c>
      <c r="S5" s="11">
        <v>1.2</v>
      </c>
      <c r="T5" s="11">
        <v>1.1000000000000001</v>
      </c>
      <c r="U5" s="11">
        <v>1.8</v>
      </c>
      <c r="V5" s="11">
        <v>2.4</v>
      </c>
      <c r="W5" s="11">
        <v>0.8</v>
      </c>
      <c r="X5" s="5">
        <v>45972.422025462962</v>
      </c>
      <c r="Y5" s="5">
        <v>45972.422268518516</v>
      </c>
      <c r="Z5" s="6">
        <v>2.430555468890816E-4</v>
      </c>
    </row>
    <row r="6" spans="1:26" hidden="1" x14ac:dyDescent="0.3">
      <c r="A6" s="2">
        <v>274</v>
      </c>
      <c r="B6" t="s">
        <v>403</v>
      </c>
      <c r="C6" t="s">
        <v>24</v>
      </c>
      <c r="D6" t="s">
        <v>404</v>
      </c>
      <c r="E6" t="s">
        <v>26</v>
      </c>
      <c r="F6" t="s">
        <v>393</v>
      </c>
      <c r="G6" s="11">
        <v>13</v>
      </c>
      <c r="H6" s="11">
        <v>15.5</v>
      </c>
      <c r="I6" s="11">
        <v>4.9000000000000004</v>
      </c>
      <c r="J6" s="11">
        <v>3.1</v>
      </c>
      <c r="K6" s="7">
        <v>4</v>
      </c>
      <c r="L6" s="11">
        <v>46.2</v>
      </c>
      <c r="M6" s="7">
        <v>0.36</v>
      </c>
      <c r="N6" s="7">
        <v>0.53</v>
      </c>
      <c r="O6" s="4">
        <v>25</v>
      </c>
      <c r="P6" s="11">
        <v>1.2</v>
      </c>
      <c r="Q6" s="11">
        <v>1.9</v>
      </c>
      <c r="R6" s="11">
        <v>1.9</v>
      </c>
      <c r="S6" s="11">
        <v>1</v>
      </c>
      <c r="T6" s="11">
        <v>1.3</v>
      </c>
      <c r="U6" s="11">
        <v>1.9</v>
      </c>
      <c r="V6" s="11">
        <v>2.8</v>
      </c>
      <c r="W6" s="11">
        <v>0.8</v>
      </c>
      <c r="X6" s="5">
        <v>45972.422361111108</v>
      </c>
      <c r="Y6" s="5">
        <v>45972.422523148147</v>
      </c>
      <c r="Z6" s="6">
        <v>1.6203703125938773E-4</v>
      </c>
    </row>
    <row r="7" spans="1:26" hidden="1" x14ac:dyDescent="0.3">
      <c r="A7" s="2">
        <v>275</v>
      </c>
      <c r="B7" t="s">
        <v>405</v>
      </c>
      <c r="C7" t="s">
        <v>24</v>
      </c>
      <c r="D7" t="s">
        <v>406</v>
      </c>
      <c r="E7" t="s">
        <v>26</v>
      </c>
      <c r="F7" t="s">
        <v>393</v>
      </c>
      <c r="G7" s="11">
        <v>13</v>
      </c>
      <c r="H7" s="11">
        <v>14.9</v>
      </c>
      <c r="I7" s="11">
        <v>4.9000000000000004</v>
      </c>
      <c r="J7" s="11">
        <v>3.4</v>
      </c>
      <c r="K7" s="7">
        <v>4.25</v>
      </c>
      <c r="L7" s="11">
        <v>45.2</v>
      </c>
      <c r="M7" s="7">
        <v>0.46</v>
      </c>
      <c r="N7" s="7">
        <v>0.5</v>
      </c>
      <c r="O7" s="4">
        <v>25</v>
      </c>
      <c r="P7" s="11">
        <v>0.8</v>
      </c>
      <c r="Q7" s="11">
        <v>1.3</v>
      </c>
      <c r="R7" s="11">
        <v>0.8</v>
      </c>
      <c r="S7" s="11">
        <v>1</v>
      </c>
      <c r="T7" s="11">
        <v>0.9</v>
      </c>
      <c r="U7" s="11">
        <v>2</v>
      </c>
      <c r="V7" s="11">
        <v>1.8</v>
      </c>
      <c r="W7" s="11">
        <v>0.8</v>
      </c>
      <c r="X7" s="5">
        <v>45972.442627314813</v>
      </c>
      <c r="Y7" s="5">
        <v>45972.44290509259</v>
      </c>
      <c r="Z7" s="6">
        <v>2.7777778450399637E-4</v>
      </c>
    </row>
    <row r="8" spans="1:26" hidden="1" x14ac:dyDescent="0.3">
      <c r="A8" s="2">
        <v>276</v>
      </c>
      <c r="B8" t="s">
        <v>407</v>
      </c>
      <c r="C8" t="s">
        <v>24</v>
      </c>
      <c r="D8" t="s">
        <v>402</v>
      </c>
      <c r="E8" t="s">
        <v>26</v>
      </c>
      <c r="F8" t="s">
        <v>393</v>
      </c>
      <c r="G8" s="11">
        <v>13</v>
      </c>
      <c r="H8" s="11">
        <v>14.9</v>
      </c>
      <c r="I8" s="11">
        <v>4.9000000000000004</v>
      </c>
      <c r="J8" s="11">
        <v>3.4</v>
      </c>
      <c r="K8" s="7">
        <v>4.2699999999999996</v>
      </c>
      <c r="L8" s="11">
        <v>44.8</v>
      </c>
      <c r="M8" s="7">
        <v>0.43</v>
      </c>
      <c r="N8" s="7">
        <v>0.54</v>
      </c>
      <c r="O8" s="4">
        <v>25</v>
      </c>
      <c r="P8" s="11">
        <v>0.9</v>
      </c>
      <c r="Q8" s="11">
        <v>1.1000000000000001</v>
      </c>
      <c r="R8" s="11">
        <v>0.8</v>
      </c>
      <c r="S8" s="11">
        <v>0.8</v>
      </c>
      <c r="T8" s="11">
        <v>1</v>
      </c>
      <c r="U8" s="11">
        <v>1.4</v>
      </c>
      <c r="V8" s="11">
        <v>1.9</v>
      </c>
      <c r="W8" s="11">
        <v>0.6</v>
      </c>
      <c r="X8" s="5">
        <v>45972.442986111113</v>
      </c>
      <c r="Y8" s="5">
        <v>45972.443148148152</v>
      </c>
      <c r="Z8" s="6">
        <v>1.6203703125938773E-4</v>
      </c>
    </row>
    <row r="9" spans="1:26" hidden="1" x14ac:dyDescent="0.3">
      <c r="A9" s="2">
        <v>277</v>
      </c>
      <c r="B9" t="s">
        <v>408</v>
      </c>
      <c r="C9" t="s">
        <v>24</v>
      </c>
      <c r="D9" t="s">
        <v>404</v>
      </c>
      <c r="E9" t="s">
        <v>26</v>
      </c>
      <c r="F9" t="s">
        <v>393</v>
      </c>
      <c r="G9" s="11">
        <v>13.1</v>
      </c>
      <c r="H9" s="11">
        <v>14.2</v>
      </c>
      <c r="I9" s="11">
        <v>4.7</v>
      </c>
      <c r="J9" s="11">
        <v>3.2</v>
      </c>
      <c r="K9" s="7">
        <v>4.1500000000000004</v>
      </c>
      <c r="L9" s="11">
        <v>46.6</v>
      </c>
      <c r="M9" s="7">
        <v>0.47</v>
      </c>
      <c r="N9" s="7">
        <v>0.47</v>
      </c>
      <c r="O9" s="4">
        <v>25</v>
      </c>
      <c r="P9" s="11">
        <v>0.8</v>
      </c>
      <c r="Q9" s="11">
        <v>1.1000000000000001</v>
      </c>
      <c r="R9" s="11">
        <v>0.9</v>
      </c>
      <c r="S9" s="11">
        <v>0.8</v>
      </c>
      <c r="T9" s="11">
        <v>1.2</v>
      </c>
      <c r="U9" s="11">
        <v>1.6</v>
      </c>
      <c r="V9" s="11">
        <v>1.7</v>
      </c>
      <c r="W9" s="11">
        <v>0.7</v>
      </c>
      <c r="X9" s="5">
        <v>45972.443252314813</v>
      </c>
      <c r="Y9" s="5">
        <v>45972.443402777775</v>
      </c>
      <c r="Z9" s="6">
        <v>1.6203703125938773E-4</v>
      </c>
    </row>
    <row r="10" spans="1:26" hidden="1" x14ac:dyDescent="0.3">
      <c r="A10" s="2">
        <v>278</v>
      </c>
      <c r="B10" t="s">
        <v>409</v>
      </c>
      <c r="C10" t="s">
        <v>137</v>
      </c>
      <c r="D10" t="s">
        <v>406</v>
      </c>
      <c r="E10" t="s">
        <v>26</v>
      </c>
      <c r="F10" t="s">
        <v>393</v>
      </c>
      <c r="G10" s="11">
        <v>14.4</v>
      </c>
      <c r="H10" s="11">
        <v>17</v>
      </c>
      <c r="I10" s="11">
        <v>5.4</v>
      </c>
      <c r="J10" s="11">
        <v>4.0999999999999996</v>
      </c>
      <c r="K10" s="7">
        <v>4.0999999999999996</v>
      </c>
      <c r="L10" s="11">
        <v>41.7</v>
      </c>
      <c r="M10" s="7">
        <v>0.3</v>
      </c>
      <c r="N10" s="7">
        <v>0.28999999999999998</v>
      </c>
      <c r="O10" s="4">
        <v>25</v>
      </c>
      <c r="P10" s="11">
        <v>6.8</v>
      </c>
      <c r="Q10" s="11">
        <v>11.4</v>
      </c>
      <c r="R10" s="11">
        <v>21.8</v>
      </c>
      <c r="S10" s="11">
        <v>8.8000000000000007</v>
      </c>
      <c r="T10" s="11">
        <v>2.7</v>
      </c>
      <c r="U10" s="11">
        <v>13</v>
      </c>
      <c r="V10" s="11">
        <v>11.8</v>
      </c>
      <c r="W10" s="11">
        <v>3.9</v>
      </c>
      <c r="X10" s="5">
        <v>45972.534050925926</v>
      </c>
      <c r="Y10" s="5">
        <v>45972.534189814818</v>
      </c>
      <c r="Z10" s="6">
        <v>1.3888889225199819E-4</v>
      </c>
    </row>
    <row r="11" spans="1:26" hidden="1" x14ac:dyDescent="0.3">
      <c r="A11" s="2">
        <v>279</v>
      </c>
      <c r="B11" t="s">
        <v>410</v>
      </c>
      <c r="C11" t="s">
        <v>137</v>
      </c>
      <c r="D11" t="s">
        <v>402</v>
      </c>
      <c r="E11" t="s">
        <v>26</v>
      </c>
      <c r="F11" t="s">
        <v>393</v>
      </c>
      <c r="G11" s="11">
        <v>14.6</v>
      </c>
      <c r="H11" s="11">
        <v>17</v>
      </c>
      <c r="I11" s="11">
        <v>5.4</v>
      </c>
      <c r="J11" s="11">
        <v>3.8</v>
      </c>
      <c r="K11" s="7">
        <v>4.04</v>
      </c>
      <c r="L11" s="11">
        <v>42.3</v>
      </c>
      <c r="M11" s="7">
        <v>0.34</v>
      </c>
      <c r="N11" s="7">
        <v>0.24</v>
      </c>
      <c r="O11" s="4">
        <v>25</v>
      </c>
      <c r="P11" s="11">
        <v>6.4</v>
      </c>
      <c r="Q11" s="11">
        <v>10.8</v>
      </c>
      <c r="R11" s="11">
        <v>21.4</v>
      </c>
      <c r="S11" s="11">
        <v>8.1999999999999993</v>
      </c>
      <c r="T11" s="11">
        <v>3</v>
      </c>
      <c r="U11" s="11">
        <v>12.2</v>
      </c>
      <c r="V11" s="11">
        <v>11</v>
      </c>
      <c r="W11" s="11">
        <v>4.2</v>
      </c>
      <c r="X11" s="5">
        <v>45972.535578703704</v>
      </c>
      <c r="Y11" s="5">
        <v>45972.535717592589</v>
      </c>
      <c r="Z11" s="6">
        <v>1.3888889225199819E-4</v>
      </c>
    </row>
    <row r="12" spans="1:26" hidden="1" x14ac:dyDescent="0.3">
      <c r="A12" s="2">
        <v>280</v>
      </c>
      <c r="B12" t="s">
        <v>411</v>
      </c>
      <c r="C12" t="s">
        <v>137</v>
      </c>
      <c r="D12" t="s">
        <v>404</v>
      </c>
      <c r="E12" t="s">
        <v>26</v>
      </c>
      <c r="F12" t="s">
        <v>393</v>
      </c>
      <c r="G12" s="11">
        <v>14.5</v>
      </c>
      <c r="H12" s="11">
        <v>17.100000000000001</v>
      </c>
      <c r="I12" s="11">
        <v>5.4</v>
      </c>
      <c r="J12" s="11">
        <v>4.0999999999999996</v>
      </c>
      <c r="K12" s="7">
        <v>4.12</v>
      </c>
      <c r="L12" s="11">
        <v>41.4</v>
      </c>
      <c r="M12" s="7">
        <v>0.28999999999999998</v>
      </c>
      <c r="N12" s="7">
        <v>0.3</v>
      </c>
      <c r="O12" s="4">
        <v>25</v>
      </c>
      <c r="P12" s="11">
        <v>6.5</v>
      </c>
      <c r="Q12" s="11">
        <v>11</v>
      </c>
      <c r="R12" s="11">
        <v>23</v>
      </c>
      <c r="S12" s="11">
        <v>8.1999999999999993</v>
      </c>
      <c r="T12" s="11">
        <v>3</v>
      </c>
      <c r="U12" s="11">
        <v>12.6</v>
      </c>
      <c r="V12" s="11">
        <v>11.9</v>
      </c>
      <c r="W12" s="11">
        <v>3.3</v>
      </c>
      <c r="X12" s="5">
        <v>45972.535937499997</v>
      </c>
      <c r="Y12" s="5">
        <v>45972.536064814813</v>
      </c>
      <c r="Z12" s="6">
        <v>1.2731482274830341E-4</v>
      </c>
    </row>
    <row r="13" spans="1:26" hidden="1" x14ac:dyDescent="0.3">
      <c r="A13" s="2">
        <v>281</v>
      </c>
      <c r="B13" t="s">
        <v>412</v>
      </c>
      <c r="C13" t="s">
        <v>137</v>
      </c>
      <c r="D13" t="s">
        <v>406</v>
      </c>
      <c r="E13" t="s">
        <v>26</v>
      </c>
      <c r="F13" t="s">
        <v>393</v>
      </c>
      <c r="G13" s="11">
        <v>14.7</v>
      </c>
      <c r="H13" s="11">
        <v>18.2</v>
      </c>
      <c r="I13" s="11">
        <v>5.0999999999999996</v>
      </c>
      <c r="J13" s="11">
        <v>3.9</v>
      </c>
      <c r="K13" s="7">
        <v>4.1399999999999997</v>
      </c>
      <c r="L13" s="11">
        <v>41.4</v>
      </c>
      <c r="M13" s="7">
        <v>0.28999999999999998</v>
      </c>
      <c r="N13" s="7">
        <v>0.34</v>
      </c>
      <c r="O13" s="4">
        <v>25</v>
      </c>
      <c r="P13" s="11">
        <v>5.3</v>
      </c>
      <c r="Q13" s="11">
        <v>9.8000000000000007</v>
      </c>
      <c r="R13" s="11">
        <v>18.3</v>
      </c>
      <c r="S13" s="11">
        <v>9.4</v>
      </c>
      <c r="T13" s="11">
        <v>2.7</v>
      </c>
      <c r="U13" s="11">
        <v>10.5</v>
      </c>
      <c r="V13" s="11">
        <v>11.7</v>
      </c>
      <c r="W13" s="11">
        <v>3.1</v>
      </c>
      <c r="X13" s="5">
        <v>45972.578877314816</v>
      </c>
      <c r="Y13" s="5">
        <v>45972.579050925924</v>
      </c>
      <c r="Z13" s="6">
        <v>1.736111007630825E-4</v>
      </c>
    </row>
    <row r="14" spans="1:26" hidden="1" x14ac:dyDescent="0.3">
      <c r="A14" s="2">
        <v>282</v>
      </c>
      <c r="B14" t="s">
        <v>413</v>
      </c>
      <c r="C14" t="s">
        <v>137</v>
      </c>
      <c r="D14" t="s">
        <v>402</v>
      </c>
      <c r="E14" t="s">
        <v>26</v>
      </c>
      <c r="F14" t="s">
        <v>393</v>
      </c>
      <c r="G14" s="11">
        <v>14.8</v>
      </c>
      <c r="H14" s="11">
        <v>18</v>
      </c>
      <c r="I14" s="11">
        <v>5</v>
      </c>
      <c r="J14" s="11">
        <v>3.9</v>
      </c>
      <c r="K14" s="7">
        <v>4.08</v>
      </c>
      <c r="L14" s="11">
        <v>41.7</v>
      </c>
      <c r="M14" s="7">
        <v>0.36</v>
      </c>
      <c r="N14" s="7">
        <v>0.3</v>
      </c>
      <c r="O14" s="4">
        <v>25</v>
      </c>
      <c r="P14" s="11">
        <v>5.5</v>
      </c>
      <c r="Q14" s="11">
        <v>10.3</v>
      </c>
      <c r="R14" s="11">
        <v>18.2</v>
      </c>
      <c r="S14" s="11">
        <v>10</v>
      </c>
      <c r="T14" s="11">
        <v>3.1</v>
      </c>
      <c r="U14" s="11">
        <v>11.4</v>
      </c>
      <c r="V14" s="11">
        <v>10.6</v>
      </c>
      <c r="W14" s="11">
        <v>3.3</v>
      </c>
      <c r="X14" s="5">
        <v>45972.579259259262</v>
      </c>
      <c r="Y14" s="5">
        <v>45972.579386574071</v>
      </c>
      <c r="Z14" s="6">
        <v>1.2731482274830341E-4</v>
      </c>
    </row>
    <row r="15" spans="1:26" hidden="1" x14ac:dyDescent="0.3">
      <c r="A15" s="2">
        <v>283</v>
      </c>
      <c r="B15" t="s">
        <v>414</v>
      </c>
      <c r="C15" t="s">
        <v>137</v>
      </c>
      <c r="D15" t="s">
        <v>404</v>
      </c>
      <c r="E15" t="s">
        <v>26</v>
      </c>
      <c r="F15" t="s">
        <v>393</v>
      </c>
      <c r="G15" s="11">
        <v>14.8</v>
      </c>
      <c r="H15" s="11">
        <v>18.399999999999999</v>
      </c>
      <c r="I15" s="11">
        <v>5.0999999999999996</v>
      </c>
      <c r="J15" s="11">
        <v>3.9</v>
      </c>
      <c r="K15" s="7">
        <v>4.2</v>
      </c>
      <c r="L15" s="11">
        <v>41.8</v>
      </c>
      <c r="M15" s="7">
        <v>0.28999999999999998</v>
      </c>
      <c r="N15" s="7">
        <v>0.3</v>
      </c>
      <c r="O15" s="4">
        <v>25</v>
      </c>
      <c r="P15" s="11">
        <v>5.5</v>
      </c>
      <c r="Q15" s="11">
        <v>9.6</v>
      </c>
      <c r="R15" s="11">
        <v>18.2</v>
      </c>
      <c r="S15" s="11">
        <v>8.6999999999999993</v>
      </c>
      <c r="T15" s="11">
        <v>3.2</v>
      </c>
      <c r="U15" s="11">
        <v>10.4</v>
      </c>
      <c r="V15" s="11">
        <v>12</v>
      </c>
      <c r="W15" s="11">
        <v>3.2</v>
      </c>
      <c r="X15" s="5">
        <v>45972.579525462963</v>
      </c>
      <c r="Y15" s="5">
        <v>45972.579699074071</v>
      </c>
      <c r="Z15" s="6">
        <v>1.8518519937060773E-4</v>
      </c>
    </row>
    <row r="16" spans="1:26" hidden="1" x14ac:dyDescent="0.3">
      <c r="A16" s="2">
        <v>284</v>
      </c>
      <c r="B16" t="s">
        <v>415</v>
      </c>
      <c r="C16" t="s">
        <v>24</v>
      </c>
      <c r="D16" t="s">
        <v>406</v>
      </c>
      <c r="E16" t="s">
        <v>26</v>
      </c>
      <c r="F16" t="s">
        <v>393</v>
      </c>
      <c r="G16" s="11">
        <v>13</v>
      </c>
      <c r="H16" s="11">
        <v>14.8</v>
      </c>
      <c r="I16" s="11">
        <v>4.9000000000000004</v>
      </c>
      <c r="J16" s="11">
        <v>3.3</v>
      </c>
      <c r="K16" s="7">
        <v>4.13</v>
      </c>
      <c r="L16" s="11">
        <v>44.9</v>
      </c>
      <c r="M16" s="7">
        <v>0.41</v>
      </c>
      <c r="N16" s="7">
        <v>0.53</v>
      </c>
      <c r="O16" s="4">
        <v>25</v>
      </c>
      <c r="P16" s="11">
        <v>0.9</v>
      </c>
      <c r="Q16" s="11">
        <v>1.6</v>
      </c>
      <c r="R16" s="11">
        <v>1</v>
      </c>
      <c r="S16" s="11">
        <v>1.4</v>
      </c>
      <c r="T16" s="11">
        <v>0.9</v>
      </c>
      <c r="U16" s="11">
        <v>2</v>
      </c>
      <c r="V16" s="11">
        <v>2.2999999999999998</v>
      </c>
      <c r="W16" s="11">
        <v>1</v>
      </c>
      <c r="X16" s="5">
        <v>45972.607685185183</v>
      </c>
      <c r="Y16" s="5">
        <v>45972.607847222222</v>
      </c>
      <c r="Z16" s="6">
        <v>1.5046296175569296E-4</v>
      </c>
    </row>
    <row r="17" spans="1:26" hidden="1" x14ac:dyDescent="0.3">
      <c r="A17" s="2">
        <v>285</v>
      </c>
      <c r="B17" t="s">
        <v>416</v>
      </c>
      <c r="C17" t="s">
        <v>24</v>
      </c>
      <c r="D17" t="s">
        <v>402</v>
      </c>
      <c r="E17" t="s">
        <v>26</v>
      </c>
      <c r="F17" t="s">
        <v>393</v>
      </c>
      <c r="G17" s="11">
        <v>13</v>
      </c>
      <c r="H17" s="11">
        <v>14.5</v>
      </c>
      <c r="I17" s="11">
        <v>4.8</v>
      </c>
      <c r="J17" s="11">
        <v>3.2</v>
      </c>
      <c r="K17" s="7">
        <v>4.08</v>
      </c>
      <c r="L17" s="11">
        <v>46</v>
      </c>
      <c r="M17" s="7">
        <v>0.42</v>
      </c>
      <c r="N17" s="7">
        <v>0.47</v>
      </c>
      <c r="O17" s="4">
        <v>25</v>
      </c>
      <c r="P17" s="11">
        <v>0.9</v>
      </c>
      <c r="Q17" s="11">
        <v>1.4</v>
      </c>
      <c r="R17" s="11">
        <v>0.8</v>
      </c>
      <c r="S17" s="11">
        <v>1.1000000000000001</v>
      </c>
      <c r="T17" s="11">
        <v>1</v>
      </c>
      <c r="U17" s="11">
        <v>1.8</v>
      </c>
      <c r="V17" s="11">
        <v>1.9</v>
      </c>
      <c r="W17" s="11">
        <v>1</v>
      </c>
      <c r="X17" s="5">
        <v>45972.608020833337</v>
      </c>
      <c r="Y17" s="5">
        <v>45972.608136574076</v>
      </c>
      <c r="Z17" s="6">
        <v>1.1574075324460864E-4</v>
      </c>
    </row>
    <row r="18" spans="1:26" hidden="1" x14ac:dyDescent="0.3">
      <c r="A18" s="2">
        <v>286</v>
      </c>
      <c r="B18" t="s">
        <v>417</v>
      </c>
      <c r="C18" t="s">
        <v>24</v>
      </c>
      <c r="D18" t="s">
        <v>404</v>
      </c>
      <c r="E18" t="s">
        <v>26</v>
      </c>
      <c r="F18" t="s">
        <v>393</v>
      </c>
      <c r="G18" s="11">
        <v>13</v>
      </c>
      <c r="H18" s="11">
        <v>14.7</v>
      </c>
      <c r="I18" s="11">
        <v>5</v>
      </c>
      <c r="J18" s="11">
        <v>3.2</v>
      </c>
      <c r="K18" s="7">
        <v>4.12</v>
      </c>
      <c r="L18" s="11">
        <v>45.5</v>
      </c>
      <c r="M18" s="7">
        <v>0.36</v>
      </c>
      <c r="N18" s="7">
        <v>0.52</v>
      </c>
      <c r="O18" s="4">
        <v>25</v>
      </c>
      <c r="P18" s="11">
        <v>1.1000000000000001</v>
      </c>
      <c r="Q18" s="11">
        <v>1.5</v>
      </c>
      <c r="R18" s="11">
        <v>0.9</v>
      </c>
      <c r="S18" s="11">
        <v>1.1000000000000001</v>
      </c>
      <c r="T18" s="11">
        <v>1.1000000000000001</v>
      </c>
      <c r="U18" s="11">
        <v>1.8</v>
      </c>
      <c r="V18" s="11">
        <v>2.5</v>
      </c>
      <c r="W18" s="11">
        <v>0.9</v>
      </c>
      <c r="X18" s="5">
        <v>45972.60833333333</v>
      </c>
      <c r="Y18" s="5">
        <v>45972.608449074076</v>
      </c>
      <c r="Z18" s="6">
        <v>1.1574075324460864E-4</v>
      </c>
    </row>
    <row r="19" spans="1:26" hidden="1" x14ac:dyDescent="0.3">
      <c r="A19" s="2">
        <v>287</v>
      </c>
      <c r="B19" t="s">
        <v>418</v>
      </c>
      <c r="C19" t="s">
        <v>24</v>
      </c>
      <c r="D19" t="s">
        <v>419</v>
      </c>
      <c r="E19" t="s">
        <v>420</v>
      </c>
      <c r="F19" t="s">
        <v>393</v>
      </c>
      <c r="G19" s="11">
        <v>0.2</v>
      </c>
      <c r="H19" s="3" t="s">
        <v>321</v>
      </c>
      <c r="I19" s="11">
        <v>31.8</v>
      </c>
      <c r="J19" s="11">
        <v>21.9</v>
      </c>
      <c r="K19" s="7">
        <v>9.64</v>
      </c>
      <c r="L19" s="3" t="s">
        <v>54</v>
      </c>
      <c r="M19" s="3" t="s">
        <v>252</v>
      </c>
      <c r="N19" s="3" t="s">
        <v>252</v>
      </c>
      <c r="O19" s="4">
        <v>25</v>
      </c>
      <c r="P19" s="3" t="s">
        <v>253</v>
      </c>
      <c r="Q19" s="3" t="s">
        <v>321</v>
      </c>
      <c r="R19" s="3" t="s">
        <v>319</v>
      </c>
      <c r="S19" s="3" t="s">
        <v>68</v>
      </c>
      <c r="T19" s="3" t="s">
        <v>68</v>
      </c>
      <c r="U19" s="3" t="s">
        <v>321</v>
      </c>
      <c r="V19" s="3" t="s">
        <v>421</v>
      </c>
      <c r="W19" s="3" t="s">
        <v>422</v>
      </c>
      <c r="X19" s="5">
        <v>45972.673993055556</v>
      </c>
      <c r="Y19" s="5">
        <v>45972.674074074072</v>
      </c>
      <c r="Z19" s="6">
        <v>8.1018515629693866E-5</v>
      </c>
    </row>
    <row r="20" spans="1:26" hidden="1" x14ac:dyDescent="0.3">
      <c r="A20" s="2">
        <v>288</v>
      </c>
      <c r="B20" t="s">
        <v>423</v>
      </c>
      <c r="C20" t="s">
        <v>24</v>
      </c>
      <c r="D20" t="s">
        <v>424</v>
      </c>
      <c r="E20" t="s">
        <v>26</v>
      </c>
      <c r="F20" t="s">
        <v>393</v>
      </c>
      <c r="G20" s="11">
        <v>12.6</v>
      </c>
      <c r="H20" s="11">
        <v>16</v>
      </c>
      <c r="I20" s="11">
        <v>5.2</v>
      </c>
      <c r="J20" s="11">
        <v>3.3</v>
      </c>
      <c r="K20" s="7">
        <v>4.2</v>
      </c>
      <c r="L20" s="11">
        <v>45.6</v>
      </c>
      <c r="M20" s="7">
        <v>0.36</v>
      </c>
      <c r="N20" s="7">
        <v>0.48</v>
      </c>
      <c r="O20" s="4">
        <v>25</v>
      </c>
      <c r="P20" s="11">
        <v>0.5</v>
      </c>
      <c r="Q20" s="11">
        <v>2.1</v>
      </c>
      <c r="R20" s="11">
        <v>1.6</v>
      </c>
      <c r="S20" s="11">
        <v>0.7</v>
      </c>
      <c r="T20" s="11">
        <v>1</v>
      </c>
      <c r="U20" s="11">
        <v>1.7</v>
      </c>
      <c r="V20" s="11">
        <v>3.2</v>
      </c>
      <c r="W20" s="11">
        <v>0.6</v>
      </c>
      <c r="X20" s="5">
        <v>45972.68340277778</v>
      </c>
      <c r="Y20" s="5">
        <v>45972.683692129627</v>
      </c>
      <c r="Z20" s="6">
        <v>2.8935185400769114E-4</v>
      </c>
    </row>
    <row r="21" spans="1:26" hidden="1" x14ac:dyDescent="0.3">
      <c r="A21" s="2">
        <v>289</v>
      </c>
      <c r="B21" t="s">
        <v>425</v>
      </c>
      <c r="C21" t="s">
        <v>24</v>
      </c>
      <c r="D21" t="s">
        <v>424</v>
      </c>
      <c r="E21" t="s">
        <v>26</v>
      </c>
      <c r="F21" t="s">
        <v>393</v>
      </c>
      <c r="G21" s="11">
        <v>12.8</v>
      </c>
      <c r="H21" s="11">
        <v>15.4</v>
      </c>
      <c r="I21" s="11">
        <v>4.9000000000000004</v>
      </c>
      <c r="J21" s="11">
        <v>3.1</v>
      </c>
      <c r="K21" s="7">
        <v>4.07</v>
      </c>
      <c r="L21" s="11">
        <v>47.2</v>
      </c>
      <c r="M21" s="7">
        <v>0.33</v>
      </c>
      <c r="N21" s="7">
        <v>0.43</v>
      </c>
      <c r="O21" s="4">
        <v>25</v>
      </c>
      <c r="P21" s="11">
        <v>0.7</v>
      </c>
      <c r="Q21" s="11">
        <v>2.2000000000000002</v>
      </c>
      <c r="R21" s="11">
        <v>1.9</v>
      </c>
      <c r="S21" s="11">
        <v>0.7</v>
      </c>
      <c r="T21" s="11">
        <v>1.4</v>
      </c>
      <c r="U21" s="11">
        <v>1.9</v>
      </c>
      <c r="V21" s="11">
        <v>3.5</v>
      </c>
      <c r="W21" s="11">
        <v>0.8</v>
      </c>
      <c r="X21" s="5">
        <v>45972.683749999997</v>
      </c>
      <c r="Y21" s="5">
        <v>45972.683912037035</v>
      </c>
      <c r="Z21" s="6">
        <v>1.6203703125938773E-4</v>
      </c>
    </row>
    <row r="22" spans="1:26" hidden="1" x14ac:dyDescent="0.3">
      <c r="A22" s="2">
        <v>290</v>
      </c>
      <c r="B22" t="s">
        <v>426</v>
      </c>
      <c r="C22" t="s">
        <v>24</v>
      </c>
      <c r="D22" t="s">
        <v>424</v>
      </c>
      <c r="E22" t="s">
        <v>26</v>
      </c>
      <c r="F22" t="s">
        <v>393</v>
      </c>
      <c r="G22" s="11">
        <v>12.8</v>
      </c>
      <c r="H22" s="11">
        <v>15.3</v>
      </c>
      <c r="I22" s="11">
        <v>4.8</v>
      </c>
      <c r="J22" s="11">
        <v>3.4</v>
      </c>
      <c r="K22" s="7">
        <v>4.3600000000000003</v>
      </c>
      <c r="L22" s="11">
        <v>45.5</v>
      </c>
      <c r="M22" s="7">
        <v>0.48</v>
      </c>
      <c r="N22" s="7">
        <v>0.35</v>
      </c>
      <c r="O22" s="4">
        <v>25</v>
      </c>
      <c r="P22" s="11">
        <v>0.9</v>
      </c>
      <c r="Q22" s="11">
        <v>2.4</v>
      </c>
      <c r="R22" s="11">
        <v>0.9</v>
      </c>
      <c r="S22" s="11">
        <v>0.8</v>
      </c>
      <c r="T22" s="11">
        <v>1.3</v>
      </c>
      <c r="U22" s="11">
        <v>1.6</v>
      </c>
      <c r="V22" s="11">
        <v>1.9</v>
      </c>
      <c r="W22" s="11">
        <v>1.1000000000000001</v>
      </c>
      <c r="X22" s="5">
        <v>45972.688680555555</v>
      </c>
      <c r="Y22" s="5">
        <v>45972.68891203704</v>
      </c>
      <c r="Z22" s="6">
        <v>2.3148147738538682E-4</v>
      </c>
    </row>
    <row r="23" spans="1:26" hidden="1" x14ac:dyDescent="0.3">
      <c r="A23" s="2">
        <v>291</v>
      </c>
      <c r="B23" t="s">
        <v>427</v>
      </c>
      <c r="C23" t="s">
        <v>24</v>
      </c>
      <c r="D23" t="s">
        <v>424</v>
      </c>
      <c r="E23" t="s">
        <v>26</v>
      </c>
      <c r="F23" t="s">
        <v>393</v>
      </c>
      <c r="G23" s="11">
        <v>12.8</v>
      </c>
      <c r="H23" s="11">
        <v>15.6</v>
      </c>
      <c r="I23" s="11">
        <v>4.8</v>
      </c>
      <c r="J23" s="11">
        <v>3.6</v>
      </c>
      <c r="K23" s="7">
        <v>4.4800000000000004</v>
      </c>
      <c r="L23" s="11">
        <v>44.8</v>
      </c>
      <c r="M23" s="7">
        <v>0.44</v>
      </c>
      <c r="N23" s="7">
        <v>0.42</v>
      </c>
      <c r="O23" s="4">
        <v>25</v>
      </c>
      <c r="P23" s="11">
        <v>0.9</v>
      </c>
      <c r="Q23" s="11">
        <v>2.4</v>
      </c>
      <c r="R23" s="11">
        <v>1.2</v>
      </c>
      <c r="S23" s="11">
        <v>1.1000000000000001</v>
      </c>
      <c r="T23" s="11">
        <v>1.4</v>
      </c>
      <c r="U23" s="11">
        <v>2.1</v>
      </c>
      <c r="V23" s="11">
        <v>2.7</v>
      </c>
      <c r="W23" s="11">
        <v>1.1000000000000001</v>
      </c>
      <c r="X23" s="5">
        <v>45972.689062500001</v>
      </c>
      <c r="Y23" s="5">
        <v>45972.689259259256</v>
      </c>
      <c r="Z23" s="6">
        <v>1.9675926887430251E-4</v>
      </c>
    </row>
    <row r="24" spans="1:26" hidden="1" x14ac:dyDescent="0.3">
      <c r="A24" s="2">
        <v>292</v>
      </c>
      <c r="B24" t="s">
        <v>428</v>
      </c>
      <c r="C24" t="s">
        <v>24</v>
      </c>
      <c r="D24" t="s">
        <v>26</v>
      </c>
      <c r="E24" t="s">
        <v>26</v>
      </c>
      <c r="F24" t="s">
        <v>393</v>
      </c>
      <c r="G24" s="3" t="s">
        <v>429</v>
      </c>
      <c r="H24" s="3" t="s">
        <v>430</v>
      </c>
      <c r="I24" s="3" t="s">
        <v>431</v>
      </c>
      <c r="J24" s="3" t="s">
        <v>432</v>
      </c>
      <c r="K24" s="3" t="s">
        <v>433</v>
      </c>
      <c r="L24" s="3" t="s">
        <v>434</v>
      </c>
      <c r="M24" s="3" t="s">
        <v>435</v>
      </c>
      <c r="N24" s="3" t="s">
        <v>436</v>
      </c>
      <c r="O24" s="4">
        <v>25</v>
      </c>
      <c r="P24" s="3" t="s">
        <v>253</v>
      </c>
      <c r="Q24" s="3" t="s">
        <v>321</v>
      </c>
      <c r="R24" s="3" t="s">
        <v>319</v>
      </c>
      <c r="S24" s="3" t="s">
        <v>68</v>
      </c>
      <c r="T24" s="3" t="s">
        <v>68</v>
      </c>
      <c r="U24" s="3" t="s">
        <v>321</v>
      </c>
      <c r="V24" s="3" t="s">
        <v>421</v>
      </c>
      <c r="W24" s="3" t="s">
        <v>422</v>
      </c>
      <c r="X24" s="5">
        <v>45973.377418981479</v>
      </c>
      <c r="Y24" s="5">
        <v>45973.377627314818</v>
      </c>
      <c r="Z24" s="6">
        <v>1.9675926887430251E-4</v>
      </c>
    </row>
    <row r="25" spans="1:26" hidden="1" x14ac:dyDescent="0.3">
      <c r="A25" s="2">
        <v>293</v>
      </c>
      <c r="B25" t="s">
        <v>437</v>
      </c>
      <c r="C25" t="s">
        <v>24</v>
      </c>
      <c r="D25" t="s">
        <v>26</v>
      </c>
      <c r="E25" t="s">
        <v>26</v>
      </c>
      <c r="F25" t="s">
        <v>393</v>
      </c>
      <c r="G25" s="11">
        <v>7.9</v>
      </c>
      <c r="H25" s="11">
        <v>77.2</v>
      </c>
      <c r="I25" s="11">
        <v>34.700000000000003</v>
      </c>
      <c r="J25" s="11">
        <v>3</v>
      </c>
      <c r="K25" s="7">
        <v>2.71</v>
      </c>
      <c r="L25" s="3" t="s">
        <v>54</v>
      </c>
      <c r="M25" s="3" t="s">
        <v>252</v>
      </c>
      <c r="N25" s="3" t="s">
        <v>252</v>
      </c>
      <c r="O25" s="4">
        <v>25</v>
      </c>
      <c r="P25" s="3" t="s">
        <v>253</v>
      </c>
      <c r="Q25" s="3" t="s">
        <v>321</v>
      </c>
      <c r="R25" s="3" t="s">
        <v>319</v>
      </c>
      <c r="S25" s="3" t="s">
        <v>68</v>
      </c>
      <c r="T25" s="3" t="s">
        <v>68</v>
      </c>
      <c r="U25" s="3" t="s">
        <v>321</v>
      </c>
      <c r="V25" s="3" t="s">
        <v>421</v>
      </c>
      <c r="W25" s="3" t="s">
        <v>422</v>
      </c>
      <c r="X25" s="5">
        <v>45973.378888888888</v>
      </c>
      <c r="Y25" s="5">
        <v>45973.379247685189</v>
      </c>
      <c r="Z25" s="6">
        <v>3.7037036963738501E-4</v>
      </c>
    </row>
    <row r="26" spans="1:26" hidden="1" x14ac:dyDescent="0.3">
      <c r="A26" s="2">
        <v>294</v>
      </c>
      <c r="B26" t="s">
        <v>438</v>
      </c>
      <c r="C26" t="s">
        <v>24</v>
      </c>
      <c r="D26" t="s">
        <v>439</v>
      </c>
      <c r="E26" t="s">
        <v>440</v>
      </c>
      <c r="F26" t="s">
        <v>393</v>
      </c>
      <c r="G26" s="11">
        <v>2.6</v>
      </c>
      <c r="H26" s="11">
        <v>79.2</v>
      </c>
      <c r="I26" s="11">
        <v>2.2000000000000002</v>
      </c>
      <c r="J26" s="11">
        <v>4.4000000000000004</v>
      </c>
      <c r="K26" s="7">
        <v>6.37</v>
      </c>
      <c r="L26" s="3" t="s">
        <v>54</v>
      </c>
      <c r="M26" s="7">
        <v>7.76</v>
      </c>
      <c r="N26" s="7">
        <v>2.17</v>
      </c>
      <c r="O26" s="4">
        <v>25</v>
      </c>
      <c r="P26" s="3" t="s">
        <v>253</v>
      </c>
      <c r="Q26" s="3" t="s">
        <v>321</v>
      </c>
      <c r="R26" s="3" t="s">
        <v>319</v>
      </c>
      <c r="S26" s="3" t="s">
        <v>68</v>
      </c>
      <c r="T26" s="3" t="s">
        <v>68</v>
      </c>
      <c r="U26" s="3" t="s">
        <v>321</v>
      </c>
      <c r="V26" s="3" t="s">
        <v>421</v>
      </c>
      <c r="W26" s="3" t="s">
        <v>422</v>
      </c>
      <c r="X26" s="5">
        <v>45973.380011574074</v>
      </c>
      <c r="Y26" s="5">
        <v>45973.380266203705</v>
      </c>
      <c r="Z26" s="6">
        <v>2.5462961639277637E-4</v>
      </c>
    </row>
    <row r="27" spans="1:26" hidden="1" x14ac:dyDescent="0.3">
      <c r="A27" s="2">
        <v>295</v>
      </c>
      <c r="B27" t="s">
        <v>441</v>
      </c>
      <c r="C27" t="s">
        <v>24</v>
      </c>
      <c r="D27" t="s">
        <v>424</v>
      </c>
      <c r="E27" t="s">
        <v>26</v>
      </c>
      <c r="F27" t="s">
        <v>393</v>
      </c>
      <c r="G27" s="11">
        <v>12.4</v>
      </c>
      <c r="H27" s="11">
        <v>15.5</v>
      </c>
      <c r="I27" s="11">
        <v>4.9000000000000004</v>
      </c>
      <c r="J27" s="11">
        <v>3.2</v>
      </c>
      <c r="K27" s="7">
        <v>4.28</v>
      </c>
      <c r="L27" s="11">
        <v>45.3</v>
      </c>
      <c r="M27" s="7">
        <v>0.42</v>
      </c>
      <c r="N27" s="7">
        <v>0.48</v>
      </c>
      <c r="O27" s="4">
        <v>25</v>
      </c>
      <c r="P27" s="11">
        <v>0.5</v>
      </c>
      <c r="Q27" s="11">
        <v>1.1000000000000001</v>
      </c>
      <c r="R27" s="11">
        <v>0.6</v>
      </c>
      <c r="S27" s="11">
        <v>0.7</v>
      </c>
      <c r="T27" s="11">
        <v>0.7</v>
      </c>
      <c r="U27" s="11">
        <v>1.5</v>
      </c>
      <c r="V27" s="11">
        <v>1.9</v>
      </c>
      <c r="W27" s="11">
        <v>0.5</v>
      </c>
      <c r="X27" s="5">
        <v>45973.389490740738</v>
      </c>
      <c r="Y27" s="5">
        <v>45973.389664351853</v>
      </c>
      <c r="Z27" s="6">
        <v>1.736111007630825E-4</v>
      </c>
    </row>
    <row r="28" spans="1:26" hidden="1" x14ac:dyDescent="0.3">
      <c r="A28" s="2">
        <v>296</v>
      </c>
      <c r="B28" t="s">
        <v>442</v>
      </c>
      <c r="C28" t="s">
        <v>24</v>
      </c>
      <c r="D28" t="s">
        <v>424</v>
      </c>
      <c r="E28" t="s">
        <v>26</v>
      </c>
      <c r="F28" t="s">
        <v>393</v>
      </c>
      <c r="G28" s="11">
        <v>12.5</v>
      </c>
      <c r="H28" s="11">
        <v>15.4</v>
      </c>
      <c r="I28" s="11">
        <v>4.9000000000000004</v>
      </c>
      <c r="J28" s="11">
        <v>3.4</v>
      </c>
      <c r="K28" s="7">
        <v>4.3600000000000003</v>
      </c>
      <c r="L28" s="11">
        <v>44.3</v>
      </c>
      <c r="M28" s="7">
        <v>0.43</v>
      </c>
      <c r="N28" s="7">
        <v>0.5</v>
      </c>
      <c r="O28" s="4">
        <v>25</v>
      </c>
      <c r="P28" s="11">
        <v>0.4</v>
      </c>
      <c r="Q28" s="11">
        <v>1</v>
      </c>
      <c r="R28" s="11">
        <v>0.5</v>
      </c>
      <c r="S28" s="11">
        <v>0.6</v>
      </c>
      <c r="T28" s="11">
        <v>0.6</v>
      </c>
      <c r="U28" s="11">
        <v>1.1000000000000001</v>
      </c>
      <c r="V28" s="11">
        <v>1.8</v>
      </c>
      <c r="W28" s="11">
        <v>0.5</v>
      </c>
      <c r="X28" s="5">
        <v>45973.389814814815</v>
      </c>
      <c r="Y28" s="5">
        <v>45973.389918981484</v>
      </c>
      <c r="Z28" s="6">
        <v>9.2592585133388638E-5</v>
      </c>
    </row>
    <row r="29" spans="1:26" hidden="1" x14ac:dyDescent="0.3">
      <c r="A29" s="2">
        <v>297</v>
      </c>
      <c r="B29" t="s">
        <v>443</v>
      </c>
      <c r="C29" t="s">
        <v>24</v>
      </c>
      <c r="D29" t="s">
        <v>424</v>
      </c>
      <c r="E29" t="s">
        <v>286</v>
      </c>
      <c r="F29" t="s">
        <v>393</v>
      </c>
      <c r="G29" s="11">
        <v>12.5</v>
      </c>
      <c r="H29" s="11">
        <v>15</v>
      </c>
      <c r="I29" s="11">
        <v>4.8</v>
      </c>
      <c r="J29" s="11">
        <v>3.3</v>
      </c>
      <c r="K29" s="7">
        <v>4.28</v>
      </c>
      <c r="L29" s="11">
        <v>45.6</v>
      </c>
      <c r="M29" s="7">
        <v>0.45</v>
      </c>
      <c r="N29" s="7">
        <v>0.47</v>
      </c>
      <c r="O29" s="4">
        <v>25</v>
      </c>
      <c r="P29" s="11">
        <v>0.5</v>
      </c>
      <c r="Q29" s="11">
        <v>0.9</v>
      </c>
      <c r="R29" s="11">
        <v>0.5</v>
      </c>
      <c r="S29" s="11">
        <v>0.5</v>
      </c>
      <c r="T29" s="11">
        <v>0.7</v>
      </c>
      <c r="U29" s="11">
        <v>1.3</v>
      </c>
      <c r="V29" s="11">
        <v>1.4</v>
      </c>
      <c r="W29" s="11">
        <v>0.5</v>
      </c>
      <c r="X29" s="5">
        <v>45973.406469907408</v>
      </c>
      <c r="Y29" s="5">
        <v>45973.406689814816</v>
      </c>
      <c r="Z29" s="6">
        <v>2.1990740788169205E-4</v>
      </c>
    </row>
    <row r="30" spans="1:26" hidden="1" x14ac:dyDescent="0.3">
      <c r="A30" s="2">
        <v>298</v>
      </c>
      <c r="B30" t="s">
        <v>444</v>
      </c>
      <c r="C30" t="s">
        <v>24</v>
      </c>
      <c r="D30" t="s">
        <v>424</v>
      </c>
      <c r="E30" t="s">
        <v>286</v>
      </c>
      <c r="F30" t="s">
        <v>393</v>
      </c>
      <c r="G30" s="11">
        <v>12.4</v>
      </c>
      <c r="H30" s="11">
        <v>15.1</v>
      </c>
      <c r="I30" s="11">
        <v>4.9000000000000004</v>
      </c>
      <c r="J30" s="11">
        <v>3.4</v>
      </c>
      <c r="K30" s="7">
        <v>4.33</v>
      </c>
      <c r="L30" s="11">
        <v>45.1</v>
      </c>
      <c r="M30" s="7">
        <v>0.45</v>
      </c>
      <c r="N30" s="7">
        <v>0.49</v>
      </c>
      <c r="O30" s="4">
        <v>25</v>
      </c>
      <c r="P30" s="11">
        <v>0.5</v>
      </c>
      <c r="Q30" s="11">
        <v>0.9</v>
      </c>
      <c r="R30" s="11">
        <v>0.6</v>
      </c>
      <c r="S30" s="11">
        <v>0.6</v>
      </c>
      <c r="T30" s="11">
        <v>0.7</v>
      </c>
      <c r="U30" s="11">
        <v>1.4</v>
      </c>
      <c r="V30" s="11">
        <v>1.5</v>
      </c>
      <c r="W30" s="11">
        <v>0.5</v>
      </c>
      <c r="X30" s="5">
        <v>45973.406770833331</v>
      </c>
      <c r="Y30" s="5">
        <v>45973.40693287037</v>
      </c>
      <c r="Z30" s="6">
        <v>1.736111007630825E-4</v>
      </c>
    </row>
    <row r="31" spans="1:26" hidden="1" x14ac:dyDescent="0.3">
      <c r="A31" s="2">
        <v>299</v>
      </c>
      <c r="B31" t="s">
        <v>445</v>
      </c>
      <c r="C31" t="s">
        <v>24</v>
      </c>
      <c r="D31" t="s">
        <v>424</v>
      </c>
      <c r="E31" t="s">
        <v>26</v>
      </c>
      <c r="F31" t="s">
        <v>393</v>
      </c>
      <c r="G31" s="11">
        <v>12.2</v>
      </c>
      <c r="H31" s="11">
        <v>15.6</v>
      </c>
      <c r="I31" s="11">
        <v>5.3</v>
      </c>
      <c r="J31" s="11">
        <v>3.2</v>
      </c>
      <c r="K31" s="7">
        <v>4.17</v>
      </c>
      <c r="L31" s="11">
        <v>45.4</v>
      </c>
      <c r="M31" s="7">
        <v>0.38</v>
      </c>
      <c r="N31" s="7">
        <v>0.48</v>
      </c>
      <c r="O31" s="4">
        <v>25</v>
      </c>
      <c r="P31" s="11">
        <v>0.8</v>
      </c>
      <c r="Q31" s="11">
        <v>1.5</v>
      </c>
      <c r="R31" s="11">
        <v>1.7</v>
      </c>
      <c r="S31" s="11">
        <v>0.8</v>
      </c>
      <c r="T31" s="11">
        <v>0.9</v>
      </c>
      <c r="U31" s="11">
        <v>2</v>
      </c>
      <c r="V31" s="11">
        <v>2.9</v>
      </c>
      <c r="W31" s="11">
        <v>0.6</v>
      </c>
      <c r="X31" s="5">
        <v>45973.42423611111</v>
      </c>
      <c r="Y31" s="5">
        <v>45973.42459490741</v>
      </c>
      <c r="Z31" s="6">
        <v>3.5879630013369024E-4</v>
      </c>
    </row>
    <row r="32" spans="1:26" hidden="1" x14ac:dyDescent="0.3">
      <c r="A32" s="2">
        <v>300</v>
      </c>
      <c r="B32" t="s">
        <v>446</v>
      </c>
      <c r="C32" t="s">
        <v>24</v>
      </c>
      <c r="D32" t="s">
        <v>424</v>
      </c>
      <c r="E32" t="s">
        <v>26</v>
      </c>
      <c r="F32" t="s">
        <v>393</v>
      </c>
      <c r="G32" s="11">
        <v>12.2</v>
      </c>
      <c r="H32" s="11">
        <v>15.5</v>
      </c>
      <c r="I32" s="11">
        <v>5.3</v>
      </c>
      <c r="J32" s="11">
        <v>3.2</v>
      </c>
      <c r="K32" s="7">
        <v>4.07</v>
      </c>
      <c r="L32" s="11">
        <v>46.2</v>
      </c>
      <c r="M32" s="7">
        <v>0.33</v>
      </c>
      <c r="N32" s="7">
        <v>0.49</v>
      </c>
      <c r="O32" s="4">
        <v>25</v>
      </c>
      <c r="P32" s="11">
        <v>1</v>
      </c>
      <c r="Q32" s="11">
        <v>1.9</v>
      </c>
      <c r="R32" s="11">
        <v>2.1</v>
      </c>
      <c r="S32" s="11">
        <v>0.8</v>
      </c>
      <c r="T32" s="11">
        <v>1.1000000000000001</v>
      </c>
      <c r="U32" s="11">
        <v>2.2000000000000002</v>
      </c>
      <c r="V32" s="11">
        <v>3.3</v>
      </c>
      <c r="W32" s="11">
        <v>0.7</v>
      </c>
      <c r="X32" s="5">
        <v>45973.424722222226</v>
      </c>
      <c r="Y32" s="5">
        <v>45973.424814814818</v>
      </c>
      <c r="Z32" s="6">
        <v>9.2592585133388638E-5</v>
      </c>
    </row>
    <row r="33" spans="1:26" hidden="1" x14ac:dyDescent="0.3">
      <c r="A33" s="2">
        <v>301</v>
      </c>
      <c r="B33" t="s">
        <v>447</v>
      </c>
      <c r="C33" t="s">
        <v>24</v>
      </c>
      <c r="D33" t="s">
        <v>424</v>
      </c>
      <c r="E33" t="s">
        <v>26</v>
      </c>
      <c r="F33" t="s">
        <v>393</v>
      </c>
      <c r="G33" s="11">
        <v>12.3</v>
      </c>
      <c r="H33" s="11">
        <v>15.2</v>
      </c>
      <c r="I33" s="11">
        <v>5.0999999999999996</v>
      </c>
      <c r="J33" s="11">
        <v>3</v>
      </c>
      <c r="K33" s="7">
        <v>4.03</v>
      </c>
      <c r="L33" s="11">
        <v>46.5</v>
      </c>
      <c r="M33" s="7">
        <v>0.32</v>
      </c>
      <c r="N33" s="7">
        <v>0.55000000000000004</v>
      </c>
      <c r="O33" s="4">
        <v>25</v>
      </c>
      <c r="P33" s="11">
        <v>1.5</v>
      </c>
      <c r="Q33" s="11">
        <v>1.6</v>
      </c>
      <c r="R33" s="11">
        <v>2.6</v>
      </c>
      <c r="S33" s="11">
        <v>0.8</v>
      </c>
      <c r="T33" s="11">
        <v>1</v>
      </c>
      <c r="U33" s="11">
        <v>1.9</v>
      </c>
      <c r="V33" s="11">
        <v>2.9</v>
      </c>
      <c r="W33" s="11">
        <v>0.8</v>
      </c>
      <c r="X33" s="5">
        <v>45973.442939814813</v>
      </c>
      <c r="Y33" s="5">
        <v>45973.443078703705</v>
      </c>
      <c r="Z33" s="6">
        <v>1.3888889225199819E-4</v>
      </c>
    </row>
    <row r="34" spans="1:26" hidden="1" x14ac:dyDescent="0.3">
      <c r="A34" s="2">
        <v>302</v>
      </c>
      <c r="B34" t="s">
        <v>448</v>
      </c>
      <c r="C34" t="s">
        <v>24</v>
      </c>
      <c r="D34" t="s">
        <v>424</v>
      </c>
      <c r="E34" t="s">
        <v>26</v>
      </c>
      <c r="F34" t="s">
        <v>393</v>
      </c>
      <c r="G34" s="11">
        <v>12.4</v>
      </c>
      <c r="H34" s="11">
        <v>15.1</v>
      </c>
      <c r="I34" s="11">
        <v>5</v>
      </c>
      <c r="J34" s="11">
        <v>2.8</v>
      </c>
      <c r="K34" s="7">
        <v>3.91</v>
      </c>
      <c r="L34" s="11">
        <v>48</v>
      </c>
      <c r="M34" s="7">
        <v>0.32</v>
      </c>
      <c r="N34" s="7">
        <v>0.52</v>
      </c>
      <c r="O34" s="4">
        <v>25</v>
      </c>
      <c r="P34" s="11">
        <v>1.8</v>
      </c>
      <c r="Q34" s="11">
        <v>2</v>
      </c>
      <c r="R34" s="11">
        <v>2.8</v>
      </c>
      <c r="S34" s="11">
        <v>0.9</v>
      </c>
      <c r="T34" s="11">
        <v>1.5</v>
      </c>
      <c r="U34" s="11">
        <v>2.2000000000000002</v>
      </c>
      <c r="V34" s="11">
        <v>3</v>
      </c>
      <c r="W34" s="11">
        <v>1</v>
      </c>
      <c r="X34" s="5">
        <v>45973.443206018521</v>
      </c>
      <c r="Y34" s="5">
        <v>45973.443460648145</v>
      </c>
      <c r="Z34" s="6">
        <v>2.5462961639277637E-4</v>
      </c>
    </row>
    <row r="35" spans="1:26" hidden="1" x14ac:dyDescent="0.3">
      <c r="A35" s="2">
        <v>303</v>
      </c>
      <c r="B35" t="s">
        <v>449</v>
      </c>
      <c r="C35" t="s">
        <v>24</v>
      </c>
      <c r="D35" t="s">
        <v>450</v>
      </c>
      <c r="E35" t="s">
        <v>26</v>
      </c>
      <c r="F35" t="s">
        <v>393</v>
      </c>
      <c r="G35" s="3" t="s">
        <v>54</v>
      </c>
      <c r="H35" s="3" t="s">
        <v>321</v>
      </c>
      <c r="I35" s="11">
        <v>3.4</v>
      </c>
      <c r="J35" s="11">
        <v>1.6</v>
      </c>
      <c r="K35" s="7">
        <v>2.3199999999999998</v>
      </c>
      <c r="L35" s="3" t="s">
        <v>54</v>
      </c>
      <c r="M35" s="7">
        <v>8.1300000000000008</v>
      </c>
      <c r="N35" s="7">
        <v>2.2200000000000002</v>
      </c>
      <c r="O35" s="4">
        <v>25</v>
      </c>
      <c r="P35" s="3" t="s">
        <v>253</v>
      </c>
      <c r="Q35" s="3" t="s">
        <v>321</v>
      </c>
      <c r="R35" s="3" t="s">
        <v>319</v>
      </c>
      <c r="S35" s="3" t="s">
        <v>68</v>
      </c>
      <c r="T35" s="3" t="s">
        <v>68</v>
      </c>
      <c r="U35" s="3" t="s">
        <v>321</v>
      </c>
      <c r="V35" s="3" t="s">
        <v>421</v>
      </c>
      <c r="W35" s="3" t="s">
        <v>422</v>
      </c>
      <c r="X35" s="5">
        <v>45973.447916666664</v>
      </c>
      <c r="Y35" s="5">
        <v>45973.448206018518</v>
      </c>
      <c r="Z35" s="6">
        <v>2.8935185400769114E-4</v>
      </c>
    </row>
    <row r="36" spans="1:26" hidden="1" x14ac:dyDescent="0.3">
      <c r="A36" s="2">
        <v>304</v>
      </c>
      <c r="B36" t="s">
        <v>451</v>
      </c>
      <c r="C36" t="s">
        <v>24</v>
      </c>
      <c r="D36" t="s">
        <v>452</v>
      </c>
      <c r="E36" t="s">
        <v>453</v>
      </c>
      <c r="F36" t="s">
        <v>393</v>
      </c>
      <c r="G36" s="11">
        <v>15.2</v>
      </c>
      <c r="H36" s="11">
        <v>85.3</v>
      </c>
      <c r="I36" s="11">
        <v>34.200000000000003</v>
      </c>
      <c r="J36" s="11">
        <v>4.9000000000000004</v>
      </c>
      <c r="K36" s="3" t="s">
        <v>252</v>
      </c>
      <c r="L36" s="3" t="s">
        <v>54</v>
      </c>
      <c r="M36" s="3" t="s">
        <v>252</v>
      </c>
      <c r="N36" s="3" t="s">
        <v>252</v>
      </c>
      <c r="O36" s="4">
        <v>25</v>
      </c>
      <c r="P36" s="3" t="s">
        <v>253</v>
      </c>
      <c r="Q36" s="3" t="s">
        <v>321</v>
      </c>
      <c r="R36" s="3" t="s">
        <v>319</v>
      </c>
      <c r="S36" s="3" t="s">
        <v>68</v>
      </c>
      <c r="T36" s="3" t="s">
        <v>68</v>
      </c>
      <c r="U36" s="3" t="s">
        <v>321</v>
      </c>
      <c r="V36" s="3" t="s">
        <v>421</v>
      </c>
      <c r="W36" s="3" t="s">
        <v>422</v>
      </c>
      <c r="X36" s="5">
        <v>45973.454108796293</v>
      </c>
      <c r="Y36" s="5">
        <v>45973.45416666667</v>
      </c>
      <c r="Z36" s="6">
        <v>5.787037662230432E-5</v>
      </c>
    </row>
    <row r="37" spans="1:26" hidden="1" x14ac:dyDescent="0.3">
      <c r="A37" s="2">
        <v>305</v>
      </c>
      <c r="B37" t="s">
        <v>454</v>
      </c>
      <c r="C37" t="s">
        <v>24</v>
      </c>
      <c r="D37" t="s">
        <v>424</v>
      </c>
      <c r="E37" t="s">
        <v>297</v>
      </c>
      <c r="F37" t="s">
        <v>393</v>
      </c>
      <c r="G37" s="11">
        <v>12.6</v>
      </c>
      <c r="H37" s="11">
        <v>14.5</v>
      </c>
      <c r="I37" s="11">
        <v>5</v>
      </c>
      <c r="J37" s="11">
        <v>2.8</v>
      </c>
      <c r="K37" s="7">
        <v>3.86</v>
      </c>
      <c r="L37" s="11">
        <v>48.2</v>
      </c>
      <c r="M37" s="7">
        <v>0.32</v>
      </c>
      <c r="N37" s="7">
        <v>0.48</v>
      </c>
      <c r="O37" s="4">
        <v>25</v>
      </c>
      <c r="P37" s="11">
        <v>1.3</v>
      </c>
      <c r="Q37" s="11">
        <v>1.4</v>
      </c>
      <c r="R37" s="11">
        <v>1.8</v>
      </c>
      <c r="S37" s="11">
        <v>1</v>
      </c>
      <c r="T37" s="11">
        <v>1.4</v>
      </c>
      <c r="U37" s="11">
        <v>1.9</v>
      </c>
      <c r="V37" s="11">
        <v>2.9</v>
      </c>
      <c r="W37" s="11">
        <v>0.9</v>
      </c>
      <c r="X37" s="5">
        <v>45973.458703703705</v>
      </c>
      <c r="Y37" s="5">
        <v>45973.459108796298</v>
      </c>
      <c r="Z37" s="6">
        <v>4.0509257814846933E-4</v>
      </c>
    </row>
    <row r="38" spans="1:26" hidden="1" x14ac:dyDescent="0.3">
      <c r="A38" s="2">
        <v>306</v>
      </c>
      <c r="B38" t="s">
        <v>455</v>
      </c>
      <c r="C38" t="s">
        <v>24</v>
      </c>
      <c r="D38" t="s">
        <v>424</v>
      </c>
      <c r="E38" t="s">
        <v>297</v>
      </c>
      <c r="F38" t="s">
        <v>393</v>
      </c>
      <c r="G38" s="11">
        <v>12.5</v>
      </c>
      <c r="H38" s="11">
        <v>14.6</v>
      </c>
      <c r="I38" s="11">
        <v>5.2</v>
      </c>
      <c r="J38" s="11">
        <v>3.1</v>
      </c>
      <c r="K38" s="7">
        <v>3.96</v>
      </c>
      <c r="L38" s="11">
        <v>46.9</v>
      </c>
      <c r="M38" s="7">
        <v>0.28999999999999998</v>
      </c>
      <c r="N38" s="7">
        <v>0.52</v>
      </c>
      <c r="O38" s="4">
        <v>25</v>
      </c>
      <c r="P38" s="11">
        <v>1.1000000000000001</v>
      </c>
      <c r="Q38" s="11">
        <v>1.4</v>
      </c>
      <c r="R38" s="11">
        <v>2</v>
      </c>
      <c r="S38" s="11">
        <v>0.9</v>
      </c>
      <c r="T38" s="11">
        <v>1.1000000000000001</v>
      </c>
      <c r="U38" s="11">
        <v>1.6</v>
      </c>
      <c r="V38" s="11">
        <v>3.1</v>
      </c>
      <c r="W38" s="11">
        <v>0.8</v>
      </c>
      <c r="X38" s="5">
        <v>45973.459224537037</v>
      </c>
      <c r="Y38" s="5">
        <v>45973.459351851852</v>
      </c>
      <c r="Z38" s="6">
        <v>1.3888889225199819E-4</v>
      </c>
    </row>
    <row r="39" spans="1:26" hidden="1" x14ac:dyDescent="0.3">
      <c r="A39" s="2">
        <v>307</v>
      </c>
      <c r="B39" t="s">
        <v>456</v>
      </c>
      <c r="C39" t="s">
        <v>24</v>
      </c>
      <c r="D39" t="s">
        <v>424</v>
      </c>
      <c r="E39" t="s">
        <v>457</v>
      </c>
      <c r="F39" t="s">
        <v>393</v>
      </c>
      <c r="G39" s="11">
        <v>12.5</v>
      </c>
      <c r="H39" s="11">
        <v>14</v>
      </c>
      <c r="I39" s="11">
        <v>4.9000000000000004</v>
      </c>
      <c r="J39" s="11">
        <v>3.4</v>
      </c>
      <c r="K39" s="7">
        <v>4.24</v>
      </c>
      <c r="L39" s="11">
        <v>45.9</v>
      </c>
      <c r="M39" s="7">
        <v>0.39</v>
      </c>
      <c r="N39" s="7">
        <v>0.46</v>
      </c>
      <c r="O39" s="4">
        <v>25</v>
      </c>
      <c r="P39" s="11">
        <v>0.5</v>
      </c>
      <c r="Q39" s="11">
        <v>0.8</v>
      </c>
      <c r="R39" s="11">
        <v>0.4</v>
      </c>
      <c r="S39" s="11">
        <v>0.6</v>
      </c>
      <c r="T39" s="11">
        <v>0.7</v>
      </c>
      <c r="U39" s="11">
        <v>0.9</v>
      </c>
      <c r="V39" s="11">
        <v>1.7</v>
      </c>
      <c r="W39" s="11">
        <v>0.5</v>
      </c>
      <c r="X39" s="5">
        <v>45973.48878472222</v>
      </c>
      <c r="Y39" s="5">
        <v>45973.489212962966</v>
      </c>
      <c r="Z39" s="6">
        <v>4.1666667675599456E-4</v>
      </c>
    </row>
    <row r="40" spans="1:26" hidden="1" x14ac:dyDescent="0.3">
      <c r="A40" s="2">
        <v>308</v>
      </c>
      <c r="B40" t="s">
        <v>458</v>
      </c>
      <c r="C40" t="s">
        <v>24</v>
      </c>
      <c r="D40" t="s">
        <v>424</v>
      </c>
      <c r="E40" t="s">
        <v>457</v>
      </c>
      <c r="F40" t="s">
        <v>393</v>
      </c>
      <c r="G40" s="11">
        <v>12.5</v>
      </c>
      <c r="H40" s="11">
        <v>14.6</v>
      </c>
      <c r="I40" s="11">
        <v>4.8</v>
      </c>
      <c r="J40" s="11">
        <v>3.1</v>
      </c>
      <c r="K40" s="7">
        <v>4.21</v>
      </c>
      <c r="L40" s="11">
        <v>47</v>
      </c>
      <c r="M40" s="7">
        <v>0.42</v>
      </c>
      <c r="N40" s="7">
        <v>0.44</v>
      </c>
      <c r="O40" s="4">
        <v>25</v>
      </c>
      <c r="P40" s="11">
        <v>0.5</v>
      </c>
      <c r="Q40" s="11">
        <v>0.9</v>
      </c>
      <c r="R40" s="11">
        <v>0.8</v>
      </c>
      <c r="S40" s="11">
        <v>0.6</v>
      </c>
      <c r="T40" s="11">
        <v>1</v>
      </c>
      <c r="U40" s="11">
        <v>1.4</v>
      </c>
      <c r="V40" s="11">
        <v>1.8</v>
      </c>
      <c r="W40" s="11">
        <v>0.5</v>
      </c>
      <c r="X40" s="5">
        <v>45973.489351851851</v>
      </c>
      <c r="Y40" s="5">
        <v>45973.489490740743</v>
      </c>
      <c r="Z40" s="6">
        <v>1.3888889225199819E-4</v>
      </c>
    </row>
    <row r="41" spans="1:26" hidden="1" x14ac:dyDescent="0.3">
      <c r="A41" s="2">
        <v>309</v>
      </c>
      <c r="B41" t="s">
        <v>459</v>
      </c>
      <c r="C41" t="s">
        <v>24</v>
      </c>
      <c r="D41" t="s">
        <v>424</v>
      </c>
      <c r="E41" t="s">
        <v>460</v>
      </c>
      <c r="F41" t="s">
        <v>393</v>
      </c>
      <c r="G41" s="11">
        <v>12.5</v>
      </c>
      <c r="H41" s="11">
        <v>14.8</v>
      </c>
      <c r="I41" s="11">
        <v>5.0999999999999996</v>
      </c>
      <c r="J41" s="11">
        <v>3.3</v>
      </c>
      <c r="K41" s="7">
        <v>4.32</v>
      </c>
      <c r="L41" s="11">
        <v>45.4</v>
      </c>
      <c r="M41" s="7">
        <v>0.4</v>
      </c>
      <c r="N41" s="7">
        <v>0.46</v>
      </c>
      <c r="O41" s="4">
        <v>25</v>
      </c>
      <c r="P41" s="11">
        <v>0.5</v>
      </c>
      <c r="Q41" s="11">
        <v>0.9</v>
      </c>
      <c r="R41" s="11">
        <v>0.6</v>
      </c>
      <c r="S41" s="11">
        <v>0.7</v>
      </c>
      <c r="T41" s="11">
        <v>0.9</v>
      </c>
      <c r="U41" s="11">
        <v>1.3</v>
      </c>
      <c r="V41" s="11">
        <v>2</v>
      </c>
      <c r="W41" s="11">
        <v>0.5</v>
      </c>
      <c r="X41" s="5">
        <v>45973.491203703707</v>
      </c>
      <c r="Y41" s="5">
        <v>45973.491412037038</v>
      </c>
      <c r="Z41" s="6">
        <v>2.0833333837799728E-4</v>
      </c>
    </row>
    <row r="42" spans="1:26" hidden="1" x14ac:dyDescent="0.3">
      <c r="A42" s="2">
        <v>310</v>
      </c>
      <c r="B42" t="s">
        <v>461</v>
      </c>
      <c r="C42" t="s">
        <v>24</v>
      </c>
      <c r="D42" t="s">
        <v>424</v>
      </c>
      <c r="E42" t="s">
        <v>460</v>
      </c>
      <c r="F42" t="s">
        <v>393</v>
      </c>
      <c r="G42" s="11">
        <v>12.5</v>
      </c>
      <c r="H42" s="11">
        <v>14.5</v>
      </c>
      <c r="I42" s="11">
        <v>4.9000000000000004</v>
      </c>
      <c r="J42" s="11">
        <v>3.2</v>
      </c>
      <c r="K42" s="7">
        <v>4.26</v>
      </c>
      <c r="L42" s="11">
        <v>46.1</v>
      </c>
      <c r="M42" s="7">
        <v>0.43</v>
      </c>
      <c r="N42" s="7">
        <v>0.44</v>
      </c>
      <c r="O42" s="4">
        <v>25</v>
      </c>
      <c r="P42" s="11">
        <v>0.6</v>
      </c>
      <c r="Q42" s="11">
        <v>0.8</v>
      </c>
      <c r="R42" s="11">
        <v>0.8</v>
      </c>
      <c r="S42" s="11">
        <v>0.7</v>
      </c>
      <c r="T42" s="11">
        <v>1</v>
      </c>
      <c r="U42" s="11">
        <v>1.1000000000000001</v>
      </c>
      <c r="V42" s="11">
        <v>1.6</v>
      </c>
      <c r="W42" s="11">
        <v>0.6</v>
      </c>
      <c r="X42" s="5">
        <v>45973.49150462963</v>
      </c>
      <c r="Y42" s="5">
        <v>45973.491678240738</v>
      </c>
      <c r="Z42" s="6">
        <v>1.736111007630825E-4</v>
      </c>
    </row>
    <row r="43" spans="1:26" hidden="1" x14ac:dyDescent="0.3">
      <c r="A43" s="2">
        <v>311</v>
      </c>
      <c r="B43" t="s">
        <v>462</v>
      </c>
      <c r="C43" t="s">
        <v>24</v>
      </c>
      <c r="D43" t="s">
        <v>424</v>
      </c>
      <c r="E43" t="s">
        <v>348</v>
      </c>
      <c r="F43" t="s">
        <v>393</v>
      </c>
      <c r="G43" s="11">
        <v>12.2</v>
      </c>
      <c r="H43" s="11">
        <v>15.1</v>
      </c>
      <c r="I43" s="11">
        <v>5.0999999999999996</v>
      </c>
      <c r="J43" s="11">
        <v>3.2</v>
      </c>
      <c r="K43" s="7">
        <v>3.94</v>
      </c>
      <c r="L43" s="11">
        <v>46.9</v>
      </c>
      <c r="M43" s="7">
        <v>0.28000000000000003</v>
      </c>
      <c r="N43" s="7">
        <v>0.48</v>
      </c>
      <c r="O43" s="4">
        <v>25</v>
      </c>
      <c r="P43" s="11">
        <v>0.9</v>
      </c>
      <c r="Q43" s="11">
        <v>1.7</v>
      </c>
      <c r="R43" s="11">
        <v>2</v>
      </c>
      <c r="S43" s="11">
        <v>0.8</v>
      </c>
      <c r="T43" s="11">
        <v>1.2</v>
      </c>
      <c r="U43" s="11">
        <v>2.1</v>
      </c>
      <c r="V43" s="11">
        <v>3.5</v>
      </c>
      <c r="W43" s="11">
        <v>0.8</v>
      </c>
      <c r="X43" s="5">
        <v>45973.499606481484</v>
      </c>
      <c r="Y43" s="5">
        <v>45973.499814814815</v>
      </c>
      <c r="Z43" s="6">
        <v>2.0833333837799728E-4</v>
      </c>
    </row>
    <row r="44" spans="1:26" hidden="1" x14ac:dyDescent="0.3">
      <c r="A44" s="2">
        <v>312</v>
      </c>
      <c r="B44" t="s">
        <v>463</v>
      </c>
      <c r="C44" t="s">
        <v>24</v>
      </c>
      <c r="D44" t="s">
        <v>424</v>
      </c>
      <c r="E44" t="s">
        <v>348</v>
      </c>
      <c r="F44" t="s">
        <v>393</v>
      </c>
      <c r="G44" s="11">
        <v>12.2</v>
      </c>
      <c r="H44" s="11">
        <v>15.5</v>
      </c>
      <c r="I44" s="11">
        <v>5.3</v>
      </c>
      <c r="J44" s="11">
        <v>3.1</v>
      </c>
      <c r="K44" s="7">
        <v>4.09</v>
      </c>
      <c r="L44" s="11">
        <v>46</v>
      </c>
      <c r="M44" s="7">
        <v>0.26</v>
      </c>
      <c r="N44" s="7">
        <v>0.52</v>
      </c>
      <c r="O44" s="4">
        <v>25</v>
      </c>
      <c r="P44" s="11">
        <v>1</v>
      </c>
      <c r="Q44" s="11">
        <v>1.7</v>
      </c>
      <c r="R44" s="11">
        <v>2.2000000000000002</v>
      </c>
      <c r="S44" s="11">
        <v>0.8</v>
      </c>
      <c r="T44" s="11">
        <v>1.1000000000000001</v>
      </c>
      <c r="U44" s="11">
        <v>2</v>
      </c>
      <c r="V44" s="11">
        <v>4</v>
      </c>
      <c r="W44" s="11">
        <v>0.8</v>
      </c>
      <c r="X44" s="5">
        <v>45973.499942129631</v>
      </c>
      <c r="Y44" s="5">
        <v>45973.500115740739</v>
      </c>
      <c r="Z44" s="6">
        <v>1.736111007630825E-4</v>
      </c>
    </row>
    <row r="45" spans="1:26" hidden="1" x14ac:dyDescent="0.3">
      <c r="A45" s="2">
        <v>313</v>
      </c>
      <c r="B45" t="s">
        <v>464</v>
      </c>
      <c r="C45" t="s">
        <v>24</v>
      </c>
      <c r="D45" t="s">
        <v>424</v>
      </c>
      <c r="E45" t="s">
        <v>348</v>
      </c>
      <c r="F45" t="s">
        <v>393</v>
      </c>
      <c r="G45" s="11">
        <v>12.3</v>
      </c>
      <c r="H45" s="11">
        <v>15.8</v>
      </c>
      <c r="I45" s="11">
        <v>5.2</v>
      </c>
      <c r="J45" s="11">
        <v>3.1</v>
      </c>
      <c r="K45" s="7">
        <v>4.05</v>
      </c>
      <c r="L45" s="11">
        <v>46.5</v>
      </c>
      <c r="M45" s="7">
        <v>0.25</v>
      </c>
      <c r="N45" s="7">
        <v>0.52</v>
      </c>
      <c r="O45" s="4">
        <v>25</v>
      </c>
      <c r="P45" s="11">
        <v>1.4</v>
      </c>
      <c r="Q45" s="11">
        <v>2.2999999999999998</v>
      </c>
      <c r="R45" s="11">
        <v>2.7</v>
      </c>
      <c r="S45" s="11">
        <v>0.9</v>
      </c>
      <c r="T45" s="11">
        <v>1.4</v>
      </c>
      <c r="U45" s="11">
        <v>2.4</v>
      </c>
      <c r="V45" s="11">
        <v>4.4000000000000004</v>
      </c>
      <c r="W45" s="11">
        <v>0.9</v>
      </c>
      <c r="X45" s="5">
        <v>45973.500243055554</v>
      </c>
      <c r="Y45" s="5">
        <v>45973.500416666669</v>
      </c>
      <c r="Z45" s="6">
        <v>1.736111007630825E-4</v>
      </c>
    </row>
    <row r="46" spans="1:26" hidden="1" x14ac:dyDescent="0.3">
      <c r="A46" s="2">
        <v>314</v>
      </c>
      <c r="B46" t="s">
        <v>465</v>
      </c>
      <c r="C46" t="s">
        <v>24</v>
      </c>
      <c r="D46" t="s">
        <v>466</v>
      </c>
      <c r="E46" t="s">
        <v>348</v>
      </c>
      <c r="F46" t="s">
        <v>393</v>
      </c>
      <c r="G46" s="11">
        <v>2.9</v>
      </c>
      <c r="H46" s="3" t="s">
        <v>321</v>
      </c>
      <c r="I46" s="11">
        <v>34.4</v>
      </c>
      <c r="J46" s="11">
        <v>25.2</v>
      </c>
      <c r="K46" s="7">
        <v>3.42</v>
      </c>
      <c r="L46" s="3" t="s">
        <v>54</v>
      </c>
      <c r="M46" s="3" t="s">
        <v>252</v>
      </c>
      <c r="N46" s="3" t="s">
        <v>252</v>
      </c>
      <c r="O46" s="4">
        <v>25</v>
      </c>
      <c r="P46" s="3" t="s">
        <v>253</v>
      </c>
      <c r="Q46" s="3" t="s">
        <v>321</v>
      </c>
      <c r="R46" s="3" t="s">
        <v>319</v>
      </c>
      <c r="S46" s="3" t="s">
        <v>68</v>
      </c>
      <c r="T46" s="3" t="s">
        <v>68</v>
      </c>
      <c r="U46" s="3" t="s">
        <v>321</v>
      </c>
      <c r="V46" s="3" t="s">
        <v>421</v>
      </c>
      <c r="W46" s="3" t="s">
        <v>422</v>
      </c>
      <c r="X46" s="5">
        <v>45973.504791666666</v>
      </c>
      <c r="Y46" s="5">
        <v>45973.505011574074</v>
      </c>
      <c r="Z46" s="6">
        <v>2.0833333837799728E-4</v>
      </c>
    </row>
    <row r="47" spans="1:26" hidden="1" x14ac:dyDescent="0.3">
      <c r="A47" s="2">
        <v>315</v>
      </c>
      <c r="B47" t="s">
        <v>467</v>
      </c>
      <c r="C47" t="s">
        <v>24</v>
      </c>
      <c r="D47" t="s">
        <v>466</v>
      </c>
      <c r="E47" t="s">
        <v>468</v>
      </c>
      <c r="F47" t="s">
        <v>393</v>
      </c>
      <c r="G47" s="11">
        <v>5.3</v>
      </c>
      <c r="H47" s="3" t="s">
        <v>321</v>
      </c>
      <c r="I47" s="11">
        <v>39.4</v>
      </c>
      <c r="J47" s="3" t="s">
        <v>68</v>
      </c>
      <c r="K47" s="7">
        <v>11.47</v>
      </c>
      <c r="L47" s="11">
        <v>2.7</v>
      </c>
      <c r="M47" s="7">
        <v>10.23</v>
      </c>
      <c r="N47" s="3" t="s">
        <v>252</v>
      </c>
      <c r="O47" s="4">
        <v>25</v>
      </c>
      <c r="P47" s="3" t="s">
        <v>253</v>
      </c>
      <c r="Q47" s="3" t="s">
        <v>321</v>
      </c>
      <c r="R47" s="3" t="s">
        <v>319</v>
      </c>
      <c r="S47" s="3" t="s">
        <v>68</v>
      </c>
      <c r="T47" s="3" t="s">
        <v>68</v>
      </c>
      <c r="U47" s="3" t="s">
        <v>321</v>
      </c>
      <c r="V47" s="3" t="s">
        <v>421</v>
      </c>
      <c r="W47" s="3" t="s">
        <v>422</v>
      </c>
      <c r="X47" s="5">
        <v>45973.507094907407</v>
      </c>
      <c r="Y47" s="5">
        <v>45973.507384259261</v>
      </c>
      <c r="Z47" s="6">
        <v>2.8935185400769114E-4</v>
      </c>
    </row>
    <row r="48" spans="1:26" hidden="1" x14ac:dyDescent="0.3">
      <c r="A48" s="2">
        <v>316</v>
      </c>
      <c r="B48" t="s">
        <v>469</v>
      </c>
      <c r="C48" t="s">
        <v>24</v>
      </c>
      <c r="D48" t="s">
        <v>466</v>
      </c>
      <c r="E48" t="s">
        <v>345</v>
      </c>
      <c r="F48" t="s">
        <v>393</v>
      </c>
      <c r="G48" s="11">
        <v>3.5</v>
      </c>
      <c r="H48" s="3" t="s">
        <v>321</v>
      </c>
      <c r="I48" s="11">
        <v>35</v>
      </c>
      <c r="J48" s="11">
        <v>18.899999999999999</v>
      </c>
      <c r="K48" s="7">
        <v>2.5099999999999998</v>
      </c>
      <c r="L48" s="3" t="s">
        <v>54</v>
      </c>
      <c r="M48" s="3" t="s">
        <v>252</v>
      </c>
      <c r="N48" s="3" t="s">
        <v>252</v>
      </c>
      <c r="O48" s="4">
        <v>25</v>
      </c>
      <c r="P48" s="3" t="s">
        <v>253</v>
      </c>
      <c r="Q48" s="3" t="s">
        <v>321</v>
      </c>
      <c r="R48" s="3" t="s">
        <v>319</v>
      </c>
      <c r="S48" s="3" t="s">
        <v>68</v>
      </c>
      <c r="T48" s="3" t="s">
        <v>68</v>
      </c>
      <c r="U48" s="3" t="s">
        <v>321</v>
      </c>
      <c r="V48" s="3" t="s">
        <v>421</v>
      </c>
      <c r="W48" s="3" t="s">
        <v>422</v>
      </c>
      <c r="X48" s="5">
        <v>45973.510775462964</v>
      </c>
      <c r="Y48" s="5">
        <v>45973.510983796295</v>
      </c>
      <c r="Z48" s="6">
        <v>2.0833333837799728E-4</v>
      </c>
    </row>
    <row r="49" spans="1:26" hidden="1" x14ac:dyDescent="0.3">
      <c r="A49" s="2">
        <v>317</v>
      </c>
      <c r="B49" t="s">
        <v>470</v>
      </c>
      <c r="C49" t="s">
        <v>24</v>
      </c>
      <c r="D49" t="s">
        <v>424</v>
      </c>
      <c r="E49" t="s">
        <v>345</v>
      </c>
      <c r="F49" t="s">
        <v>393</v>
      </c>
      <c r="G49" s="11">
        <v>12.2</v>
      </c>
      <c r="H49" s="11">
        <v>15.1</v>
      </c>
      <c r="I49" s="11">
        <v>5.0999999999999996</v>
      </c>
      <c r="J49" s="11">
        <v>3.1</v>
      </c>
      <c r="K49" s="7">
        <v>3.98</v>
      </c>
      <c r="L49" s="11">
        <v>46.8</v>
      </c>
      <c r="M49" s="7">
        <v>0.28999999999999998</v>
      </c>
      <c r="N49" s="7">
        <v>0.46</v>
      </c>
      <c r="O49" s="4">
        <v>25</v>
      </c>
      <c r="P49" s="11">
        <v>1.1000000000000001</v>
      </c>
      <c r="Q49" s="11">
        <v>1.8</v>
      </c>
      <c r="R49" s="11">
        <v>2.2999999999999998</v>
      </c>
      <c r="S49" s="11">
        <v>0.8</v>
      </c>
      <c r="T49" s="11">
        <v>1.4</v>
      </c>
      <c r="U49" s="11">
        <v>2.2999999999999998</v>
      </c>
      <c r="V49" s="11">
        <v>3.8</v>
      </c>
      <c r="W49" s="11">
        <v>0.8</v>
      </c>
      <c r="X49" s="5">
        <v>45973.512060185189</v>
      </c>
      <c r="Y49" s="5">
        <v>45973.512233796297</v>
      </c>
      <c r="Z49" s="6">
        <v>1.736111007630825E-4</v>
      </c>
    </row>
    <row r="50" spans="1:26" hidden="1" x14ac:dyDescent="0.3">
      <c r="A50" s="2">
        <v>318</v>
      </c>
      <c r="B50" t="s">
        <v>471</v>
      </c>
      <c r="C50" t="s">
        <v>24</v>
      </c>
      <c r="D50" t="s">
        <v>424</v>
      </c>
      <c r="E50" t="s">
        <v>345</v>
      </c>
      <c r="F50" t="s">
        <v>393</v>
      </c>
      <c r="G50" s="11">
        <v>12.2</v>
      </c>
      <c r="H50" s="11">
        <v>14.9</v>
      </c>
      <c r="I50" s="11">
        <v>5.0999999999999996</v>
      </c>
      <c r="J50" s="11">
        <v>3.2</v>
      </c>
      <c r="K50" s="7">
        <v>3.99</v>
      </c>
      <c r="L50" s="11">
        <v>47</v>
      </c>
      <c r="M50" s="7">
        <v>0.28999999999999998</v>
      </c>
      <c r="N50" s="7">
        <v>0.45</v>
      </c>
      <c r="O50" s="4">
        <v>25</v>
      </c>
      <c r="P50" s="11">
        <v>1.4</v>
      </c>
      <c r="Q50" s="11">
        <v>2</v>
      </c>
      <c r="R50" s="11">
        <v>3.2</v>
      </c>
      <c r="S50" s="11">
        <v>0.9</v>
      </c>
      <c r="T50" s="11">
        <v>1.6</v>
      </c>
      <c r="U50" s="11">
        <v>2.8</v>
      </c>
      <c r="V50" s="11">
        <v>4.0999999999999996</v>
      </c>
      <c r="W50" s="11">
        <v>1</v>
      </c>
      <c r="X50" s="5">
        <v>45973.512326388889</v>
      </c>
      <c r="Y50" s="5">
        <v>45973.512499999997</v>
      </c>
      <c r="Z50" s="6">
        <v>1.736111007630825E-4</v>
      </c>
    </row>
    <row r="51" spans="1:26" hidden="1" x14ac:dyDescent="0.3">
      <c r="A51" s="2">
        <v>319</v>
      </c>
      <c r="B51" t="s">
        <v>472</v>
      </c>
      <c r="C51" t="s">
        <v>24</v>
      </c>
      <c r="D51" t="s">
        <v>424</v>
      </c>
      <c r="E51" t="s">
        <v>345</v>
      </c>
      <c r="F51" t="s">
        <v>393</v>
      </c>
      <c r="G51" s="11">
        <v>12.2</v>
      </c>
      <c r="H51" s="11">
        <v>14.8</v>
      </c>
      <c r="I51" s="11">
        <v>5.0999999999999996</v>
      </c>
      <c r="J51" s="11">
        <v>3.2</v>
      </c>
      <c r="K51" s="7">
        <v>3.98</v>
      </c>
      <c r="L51" s="11">
        <v>47.3</v>
      </c>
      <c r="M51" s="7">
        <v>0.24</v>
      </c>
      <c r="N51" s="7">
        <v>0.46</v>
      </c>
      <c r="O51" s="4">
        <v>25</v>
      </c>
      <c r="P51" s="11">
        <v>1.4</v>
      </c>
      <c r="Q51" s="11">
        <v>1.9</v>
      </c>
      <c r="R51" s="11">
        <v>3.1</v>
      </c>
      <c r="S51" s="11">
        <v>0.9</v>
      </c>
      <c r="T51" s="11">
        <v>1.6</v>
      </c>
      <c r="U51" s="11">
        <v>2.7</v>
      </c>
      <c r="V51" s="11">
        <v>4.5999999999999996</v>
      </c>
      <c r="W51" s="11">
        <v>1.1000000000000001</v>
      </c>
      <c r="X51" s="5">
        <v>45973.51290509259</v>
      </c>
      <c r="Y51" s="5">
        <v>45973.513113425928</v>
      </c>
      <c r="Z51" s="6">
        <v>2.0833333837799728E-4</v>
      </c>
    </row>
    <row r="52" spans="1:26" hidden="1" x14ac:dyDescent="0.3">
      <c r="A52" s="2">
        <v>320</v>
      </c>
      <c r="B52" t="s">
        <v>473</v>
      </c>
      <c r="C52" t="s">
        <v>24</v>
      </c>
      <c r="D52" t="s">
        <v>424</v>
      </c>
      <c r="E52" t="s">
        <v>474</v>
      </c>
      <c r="F52" t="s">
        <v>393</v>
      </c>
      <c r="G52" s="11">
        <v>12.2</v>
      </c>
      <c r="H52" s="11">
        <v>15.2</v>
      </c>
      <c r="I52" s="11">
        <v>5</v>
      </c>
      <c r="J52" s="11">
        <v>2.9</v>
      </c>
      <c r="K52" s="7">
        <v>3.86</v>
      </c>
      <c r="L52" s="11">
        <v>47.8</v>
      </c>
      <c r="M52" s="7">
        <v>0.28000000000000003</v>
      </c>
      <c r="N52" s="7">
        <v>0.49</v>
      </c>
      <c r="O52" s="4">
        <v>25</v>
      </c>
      <c r="P52" s="11">
        <v>1.2</v>
      </c>
      <c r="Q52" s="11">
        <v>2.1</v>
      </c>
      <c r="R52" s="11">
        <v>2.1</v>
      </c>
      <c r="S52" s="11">
        <v>0.9</v>
      </c>
      <c r="T52" s="11">
        <v>1.3</v>
      </c>
      <c r="U52" s="11">
        <v>2.2000000000000002</v>
      </c>
      <c r="V52" s="11">
        <v>3.5</v>
      </c>
      <c r="W52" s="11">
        <v>0.9</v>
      </c>
      <c r="X52" s="5">
        <v>45973.668437499997</v>
      </c>
      <c r="Y52" s="5">
        <v>45973.668796296297</v>
      </c>
      <c r="Z52" s="6">
        <v>3.7037036963738501E-4</v>
      </c>
    </row>
    <row r="53" spans="1:26" hidden="1" x14ac:dyDescent="0.3">
      <c r="A53" s="2">
        <v>321</v>
      </c>
      <c r="B53" t="s">
        <v>475</v>
      </c>
      <c r="C53" t="s">
        <v>24</v>
      </c>
      <c r="D53" t="s">
        <v>424</v>
      </c>
      <c r="E53" t="s">
        <v>474</v>
      </c>
      <c r="F53" t="s">
        <v>393</v>
      </c>
      <c r="G53" s="11">
        <v>12.2</v>
      </c>
      <c r="H53" s="11">
        <v>15.3</v>
      </c>
      <c r="I53" s="11">
        <v>5.0999999999999996</v>
      </c>
      <c r="J53" s="11">
        <v>2.9</v>
      </c>
      <c r="K53" s="7">
        <v>3.84</v>
      </c>
      <c r="L53" s="11">
        <v>47.9</v>
      </c>
      <c r="M53" s="7">
        <v>0.28000000000000003</v>
      </c>
      <c r="N53" s="7">
        <v>0.5</v>
      </c>
      <c r="O53" s="4">
        <v>25</v>
      </c>
      <c r="P53" s="11">
        <v>1.7</v>
      </c>
      <c r="Q53" s="11">
        <v>2.5</v>
      </c>
      <c r="R53" s="11">
        <v>3</v>
      </c>
      <c r="S53" s="11">
        <v>1</v>
      </c>
      <c r="T53" s="11">
        <v>1.7</v>
      </c>
      <c r="U53" s="11">
        <v>2.8</v>
      </c>
      <c r="V53" s="11">
        <v>4</v>
      </c>
      <c r="W53" s="11">
        <v>1.2</v>
      </c>
      <c r="X53" s="5">
        <v>45973.668923611112</v>
      </c>
      <c r="Y53" s="5">
        <v>45973.66914351852</v>
      </c>
      <c r="Z53" s="6">
        <v>2.1990740788169205E-4</v>
      </c>
    </row>
    <row r="54" spans="1:26" x14ac:dyDescent="0.3">
      <c r="A54" s="2">
        <v>322</v>
      </c>
      <c r="B54" t="s">
        <v>476</v>
      </c>
      <c r="C54" t="s">
        <v>353</v>
      </c>
      <c r="D54" t="s">
        <v>424</v>
      </c>
      <c r="E54" t="s">
        <v>354</v>
      </c>
      <c r="F54" t="s">
        <v>393</v>
      </c>
      <c r="G54" s="11">
        <v>11.7</v>
      </c>
      <c r="H54" s="11">
        <v>14.7</v>
      </c>
      <c r="I54" s="11">
        <v>5.2</v>
      </c>
      <c r="J54" s="11">
        <v>3.4</v>
      </c>
      <c r="K54" s="7">
        <v>4.04</v>
      </c>
      <c r="L54" s="11">
        <v>45.5</v>
      </c>
      <c r="M54" s="7">
        <v>0.28000000000000003</v>
      </c>
      <c r="N54" s="7">
        <v>0.52</v>
      </c>
      <c r="O54" s="4">
        <v>25</v>
      </c>
      <c r="P54" s="11">
        <v>1</v>
      </c>
      <c r="Q54" s="11">
        <v>2.1</v>
      </c>
      <c r="R54" s="11">
        <v>2</v>
      </c>
      <c r="S54" s="11">
        <v>1.2</v>
      </c>
      <c r="T54" s="11">
        <v>0.7</v>
      </c>
      <c r="U54" s="11">
        <v>2.5</v>
      </c>
      <c r="V54" s="11">
        <v>3.4</v>
      </c>
      <c r="W54" s="11">
        <v>1</v>
      </c>
      <c r="X54" s="5">
        <v>45974.5624537037</v>
      </c>
      <c r="Y54" s="5">
        <v>45974.562731481485</v>
      </c>
      <c r="Z54" s="6">
        <v>2.7777778450399637E-4</v>
      </c>
    </row>
    <row r="55" spans="1:26" x14ac:dyDescent="0.3">
      <c r="A55" s="2">
        <v>323</v>
      </c>
      <c r="B55" t="s">
        <v>477</v>
      </c>
      <c r="C55" t="s">
        <v>353</v>
      </c>
      <c r="D55" t="s">
        <v>424</v>
      </c>
      <c r="E55" t="s">
        <v>354</v>
      </c>
      <c r="F55" t="s">
        <v>393</v>
      </c>
      <c r="G55" s="11">
        <v>11.8</v>
      </c>
      <c r="H55" s="11">
        <v>14.8</v>
      </c>
      <c r="I55" s="11">
        <v>5.0999999999999996</v>
      </c>
      <c r="J55" s="11">
        <v>3.3</v>
      </c>
      <c r="K55" s="7">
        <v>3.97</v>
      </c>
      <c r="L55" s="11">
        <v>46.6</v>
      </c>
      <c r="M55" s="7">
        <v>0.2</v>
      </c>
      <c r="N55" s="7">
        <v>0.49</v>
      </c>
      <c r="O55" s="4">
        <v>25</v>
      </c>
      <c r="P55" s="11">
        <v>1</v>
      </c>
      <c r="Q55" s="11">
        <v>2.4</v>
      </c>
      <c r="R55" s="11">
        <v>2</v>
      </c>
      <c r="S55" s="11">
        <v>1</v>
      </c>
      <c r="T55" s="11">
        <v>0.8</v>
      </c>
      <c r="U55" s="11">
        <v>2.5</v>
      </c>
      <c r="V55" s="11">
        <v>4.2</v>
      </c>
      <c r="W55" s="11">
        <v>0.9</v>
      </c>
      <c r="X55" s="5">
        <v>45974.562893518516</v>
      </c>
      <c r="Y55" s="5">
        <v>45974.563020833331</v>
      </c>
      <c r="Z55" s="6">
        <v>1.1574075324460864E-4</v>
      </c>
    </row>
    <row r="56" spans="1:26" x14ac:dyDescent="0.3">
      <c r="A56" s="2">
        <v>324</v>
      </c>
      <c r="B56" t="s">
        <v>478</v>
      </c>
      <c r="C56" t="s">
        <v>353</v>
      </c>
      <c r="D56" t="s">
        <v>424</v>
      </c>
      <c r="E56" t="s">
        <v>354</v>
      </c>
      <c r="F56" t="s">
        <v>393</v>
      </c>
      <c r="G56" s="11">
        <v>11.8</v>
      </c>
      <c r="H56" s="11">
        <v>14.6</v>
      </c>
      <c r="I56" s="11">
        <v>5.2</v>
      </c>
      <c r="J56" s="11">
        <v>3.2</v>
      </c>
      <c r="K56" s="7">
        <v>3.91</v>
      </c>
      <c r="L56" s="11">
        <v>47.4</v>
      </c>
      <c r="M56" s="7">
        <v>0.2</v>
      </c>
      <c r="N56" s="7">
        <v>0.5</v>
      </c>
      <c r="O56" s="4">
        <v>25</v>
      </c>
      <c r="P56" s="11">
        <v>1.2</v>
      </c>
      <c r="Q56" s="11">
        <v>2.4</v>
      </c>
      <c r="R56" s="11">
        <v>2.5</v>
      </c>
      <c r="S56" s="11">
        <v>1</v>
      </c>
      <c r="T56" s="11">
        <v>1</v>
      </c>
      <c r="U56" s="11">
        <v>2.7</v>
      </c>
      <c r="V56" s="11">
        <v>4.4000000000000004</v>
      </c>
      <c r="W56" s="11">
        <v>0.9</v>
      </c>
      <c r="X56" s="5">
        <v>45974.563148148147</v>
      </c>
      <c r="Y56" s="5">
        <v>45974.563263888886</v>
      </c>
      <c r="Z56" s="6">
        <v>1.1574075324460864E-4</v>
      </c>
    </row>
    <row r="57" spans="1:26" hidden="1" x14ac:dyDescent="0.3">
      <c r="A57" s="2">
        <v>325</v>
      </c>
      <c r="B57" t="s">
        <v>479</v>
      </c>
      <c r="C57" t="s">
        <v>353</v>
      </c>
      <c r="D57" t="s">
        <v>424</v>
      </c>
      <c r="E57" t="s">
        <v>358</v>
      </c>
      <c r="F57" t="s">
        <v>393</v>
      </c>
      <c r="G57" s="11">
        <v>11.9</v>
      </c>
      <c r="H57" s="11">
        <v>14.2</v>
      </c>
      <c r="I57" s="11">
        <v>4.9000000000000004</v>
      </c>
      <c r="J57" s="11">
        <v>3.4</v>
      </c>
      <c r="K57" s="7">
        <v>4.18</v>
      </c>
      <c r="L57" s="11">
        <v>46.7</v>
      </c>
      <c r="M57" s="7">
        <v>0.31</v>
      </c>
      <c r="N57" s="7">
        <v>0.48</v>
      </c>
      <c r="O57" s="4">
        <v>25</v>
      </c>
      <c r="P57" s="11">
        <v>0.4</v>
      </c>
      <c r="Q57" s="11">
        <v>1.3</v>
      </c>
      <c r="R57" s="11">
        <v>0.4</v>
      </c>
      <c r="S57" s="11">
        <v>0.5</v>
      </c>
      <c r="T57" s="11">
        <v>0.5</v>
      </c>
      <c r="U57" s="11">
        <v>1.3</v>
      </c>
      <c r="V57" s="11">
        <v>2.6</v>
      </c>
      <c r="W57" s="11">
        <v>0.5</v>
      </c>
      <c r="X57" s="5">
        <v>45974.579884259256</v>
      </c>
      <c r="Y57" s="5">
        <v>45974.580081018517</v>
      </c>
      <c r="Z57" s="6">
        <v>1.9675926887430251E-4</v>
      </c>
    </row>
    <row r="58" spans="1:26" hidden="1" x14ac:dyDescent="0.3">
      <c r="A58" s="2">
        <v>326</v>
      </c>
      <c r="B58" t="s">
        <v>480</v>
      </c>
      <c r="C58" t="s">
        <v>353</v>
      </c>
      <c r="D58" t="s">
        <v>424</v>
      </c>
      <c r="E58" t="s">
        <v>358</v>
      </c>
      <c r="F58" t="s">
        <v>393</v>
      </c>
      <c r="G58" s="11">
        <v>11.9</v>
      </c>
      <c r="H58" s="11">
        <v>14.5</v>
      </c>
      <c r="I58" s="11">
        <v>5</v>
      </c>
      <c r="J58" s="11">
        <v>3.6</v>
      </c>
      <c r="K58" s="7">
        <v>4.2699999999999996</v>
      </c>
      <c r="L58" s="11">
        <v>45.7</v>
      </c>
      <c r="M58" s="7">
        <v>0.34</v>
      </c>
      <c r="N58" s="7">
        <v>0.48</v>
      </c>
      <c r="O58" s="4">
        <v>25</v>
      </c>
      <c r="P58" s="11">
        <v>0.4</v>
      </c>
      <c r="Q58" s="11">
        <v>1.4</v>
      </c>
      <c r="R58" s="11">
        <v>0.5</v>
      </c>
      <c r="S58" s="11">
        <v>0.5</v>
      </c>
      <c r="T58" s="11">
        <v>0.5</v>
      </c>
      <c r="U58" s="11">
        <v>1.3</v>
      </c>
      <c r="V58" s="11">
        <v>2.5</v>
      </c>
      <c r="W58" s="11">
        <v>0.5</v>
      </c>
      <c r="X58" s="5">
        <v>45974.580231481479</v>
      </c>
      <c r="Y58" s="5">
        <v>45974.580393518518</v>
      </c>
      <c r="Z58" s="6">
        <v>1.6203703125938773E-4</v>
      </c>
    </row>
    <row r="59" spans="1:26" hidden="1" x14ac:dyDescent="0.3">
      <c r="A59" s="2">
        <v>327</v>
      </c>
      <c r="B59" t="s">
        <v>481</v>
      </c>
      <c r="C59" t="s">
        <v>353</v>
      </c>
      <c r="D59" t="s">
        <v>424</v>
      </c>
      <c r="E59" t="s">
        <v>358</v>
      </c>
      <c r="F59" t="s">
        <v>393</v>
      </c>
      <c r="G59" s="11">
        <v>11.9</v>
      </c>
      <c r="H59" s="11">
        <v>14.5</v>
      </c>
      <c r="I59" s="11">
        <v>4.9000000000000004</v>
      </c>
      <c r="J59" s="11">
        <v>3.6</v>
      </c>
      <c r="K59" s="7">
        <v>4.2</v>
      </c>
      <c r="L59" s="11">
        <v>46.4</v>
      </c>
      <c r="M59" s="7">
        <v>0.26</v>
      </c>
      <c r="N59" s="7">
        <v>0.48</v>
      </c>
      <c r="O59" s="4">
        <v>25</v>
      </c>
      <c r="P59" s="11">
        <v>0.5</v>
      </c>
      <c r="Q59" s="11">
        <v>1.6</v>
      </c>
      <c r="R59" s="11">
        <v>0.7</v>
      </c>
      <c r="S59" s="11">
        <v>0.6</v>
      </c>
      <c r="T59" s="11">
        <v>0.7</v>
      </c>
      <c r="U59" s="11">
        <v>1.6</v>
      </c>
      <c r="V59" s="11">
        <v>3.4</v>
      </c>
      <c r="W59" s="11">
        <v>0.5</v>
      </c>
      <c r="X59" s="5">
        <v>45974.580497685187</v>
      </c>
      <c r="Y59" s="5">
        <v>45974.580613425926</v>
      </c>
      <c r="Z59" s="6">
        <v>1.1574075324460864E-4</v>
      </c>
    </row>
    <row r="60" spans="1:26" hidden="1" x14ac:dyDescent="0.3">
      <c r="A60" s="2">
        <v>328</v>
      </c>
      <c r="B60" t="s">
        <v>482</v>
      </c>
      <c r="C60" t="s">
        <v>362</v>
      </c>
      <c r="D60" t="s">
        <v>424</v>
      </c>
      <c r="E60" t="s">
        <v>363</v>
      </c>
      <c r="F60" t="s">
        <v>393</v>
      </c>
      <c r="G60" s="11">
        <v>11.8</v>
      </c>
      <c r="H60" s="11">
        <v>14.1</v>
      </c>
      <c r="I60" s="11">
        <v>5.0999999999999996</v>
      </c>
      <c r="J60" s="11">
        <v>3.2</v>
      </c>
      <c r="K60" s="7">
        <v>3.72</v>
      </c>
      <c r="L60" s="11">
        <v>49.7</v>
      </c>
      <c r="M60" s="7">
        <v>0.27</v>
      </c>
      <c r="N60" s="7">
        <v>0.42</v>
      </c>
      <c r="O60" s="4">
        <v>25</v>
      </c>
      <c r="P60" s="11">
        <v>1.5</v>
      </c>
      <c r="Q60" s="11">
        <v>2.9</v>
      </c>
      <c r="R60" s="11">
        <v>1.8</v>
      </c>
      <c r="S60" s="11">
        <v>1.5</v>
      </c>
      <c r="T60" s="11">
        <v>1.6</v>
      </c>
      <c r="U60" s="11">
        <v>3.3</v>
      </c>
      <c r="V60" s="11">
        <v>3.5</v>
      </c>
      <c r="W60" s="11">
        <v>1.6</v>
      </c>
      <c r="X60" s="5">
        <v>45974.674143518518</v>
      </c>
      <c r="Y60" s="5">
        <v>45974.674340277779</v>
      </c>
      <c r="Z60" s="6">
        <v>1.9675926887430251E-4</v>
      </c>
    </row>
    <row r="61" spans="1:26" hidden="1" x14ac:dyDescent="0.3">
      <c r="A61" s="2">
        <v>329</v>
      </c>
      <c r="B61" t="s">
        <v>483</v>
      </c>
      <c r="C61" t="s">
        <v>362</v>
      </c>
      <c r="D61" t="s">
        <v>424</v>
      </c>
      <c r="E61" t="s">
        <v>363</v>
      </c>
      <c r="F61" t="s">
        <v>393</v>
      </c>
      <c r="G61" s="11">
        <v>11.8</v>
      </c>
      <c r="H61" s="11">
        <v>14.2</v>
      </c>
      <c r="I61" s="11">
        <v>5.2</v>
      </c>
      <c r="J61" s="11">
        <v>3.4</v>
      </c>
      <c r="K61" s="7">
        <v>3.85</v>
      </c>
      <c r="L61" s="11">
        <v>48.7</v>
      </c>
      <c r="M61" s="7">
        <v>0.25</v>
      </c>
      <c r="N61" s="7">
        <v>0.42</v>
      </c>
      <c r="O61" s="4">
        <v>25</v>
      </c>
      <c r="P61" s="11">
        <v>1.3</v>
      </c>
      <c r="Q61" s="11">
        <v>2.7</v>
      </c>
      <c r="R61" s="11">
        <v>1.8</v>
      </c>
      <c r="S61" s="11">
        <v>1.3</v>
      </c>
      <c r="T61" s="11">
        <v>1.3</v>
      </c>
      <c r="U61" s="11">
        <v>3.3</v>
      </c>
      <c r="V61" s="11">
        <v>3.8</v>
      </c>
      <c r="W61" s="11">
        <v>1.4</v>
      </c>
      <c r="X61" s="5">
        <v>45974.674513888887</v>
      </c>
      <c r="Y61" s="5">
        <v>45974.674675925926</v>
      </c>
      <c r="Z61" s="6">
        <v>1.6203703125938773E-4</v>
      </c>
    </row>
    <row r="62" spans="1:26" hidden="1" x14ac:dyDescent="0.3">
      <c r="A62" s="2">
        <v>330</v>
      </c>
      <c r="B62" t="s">
        <v>484</v>
      </c>
      <c r="C62" t="s">
        <v>362</v>
      </c>
      <c r="D62" t="s">
        <v>424</v>
      </c>
      <c r="E62" t="s">
        <v>363</v>
      </c>
      <c r="F62" t="s">
        <v>393</v>
      </c>
      <c r="G62" s="11">
        <v>11.8</v>
      </c>
      <c r="H62" s="11">
        <v>14.5</v>
      </c>
      <c r="I62" s="11">
        <v>5.2</v>
      </c>
      <c r="J62" s="11">
        <v>3.4</v>
      </c>
      <c r="K62" s="7">
        <v>3.88</v>
      </c>
      <c r="L62" s="11">
        <v>48.7</v>
      </c>
      <c r="M62" s="7">
        <v>0.24</v>
      </c>
      <c r="N62" s="7">
        <v>0.45</v>
      </c>
      <c r="O62" s="4">
        <v>25</v>
      </c>
      <c r="P62" s="11">
        <v>1.6</v>
      </c>
      <c r="Q62" s="11">
        <v>3</v>
      </c>
      <c r="R62" s="11">
        <v>1.9</v>
      </c>
      <c r="S62" s="11">
        <v>1.2</v>
      </c>
      <c r="T62" s="11">
        <v>1.3</v>
      </c>
      <c r="U62" s="11">
        <v>3.5</v>
      </c>
      <c r="V62" s="11">
        <v>3.9</v>
      </c>
      <c r="W62" s="11">
        <v>1.3</v>
      </c>
      <c r="X62" s="5">
        <v>45974.674768518518</v>
      </c>
      <c r="Y62" s="5">
        <v>45974.674884259257</v>
      </c>
      <c r="Z62" s="6">
        <v>1.1574075324460864E-4</v>
      </c>
    </row>
    <row r="63" spans="1:26" hidden="1" x14ac:dyDescent="0.3">
      <c r="A63" s="2">
        <v>331</v>
      </c>
      <c r="B63" t="s">
        <v>485</v>
      </c>
      <c r="C63" t="s">
        <v>362</v>
      </c>
      <c r="D63" t="s">
        <v>424</v>
      </c>
      <c r="E63" t="s">
        <v>367</v>
      </c>
      <c r="F63" t="s">
        <v>393</v>
      </c>
      <c r="G63" s="11">
        <v>11.9</v>
      </c>
      <c r="H63" s="11">
        <v>13.8</v>
      </c>
      <c r="I63" s="11">
        <v>5.0999999999999996</v>
      </c>
      <c r="J63" s="11">
        <v>3.6</v>
      </c>
      <c r="K63" s="7">
        <v>4.28</v>
      </c>
      <c r="L63" s="11">
        <v>46.1</v>
      </c>
      <c r="M63" s="7">
        <v>0.32</v>
      </c>
      <c r="N63" s="7">
        <v>0.45</v>
      </c>
      <c r="O63" s="4">
        <v>25</v>
      </c>
      <c r="P63" s="11">
        <v>0.5</v>
      </c>
      <c r="Q63" s="11">
        <v>1.2</v>
      </c>
      <c r="R63" s="11">
        <v>0.6</v>
      </c>
      <c r="S63" s="11">
        <v>0.6</v>
      </c>
      <c r="T63" s="11">
        <v>0.6</v>
      </c>
      <c r="U63" s="11">
        <v>1.5</v>
      </c>
      <c r="V63" s="11">
        <v>2.7</v>
      </c>
      <c r="W63" s="11">
        <v>0.8</v>
      </c>
      <c r="X63" s="5">
        <v>45974.688206018516</v>
      </c>
      <c r="Y63" s="5">
        <v>45974.688518518517</v>
      </c>
      <c r="Z63" s="6">
        <v>3.0092592351138592E-4</v>
      </c>
    </row>
    <row r="64" spans="1:26" hidden="1" x14ac:dyDescent="0.3">
      <c r="A64" s="2">
        <v>332</v>
      </c>
      <c r="B64" t="s">
        <v>486</v>
      </c>
      <c r="C64" t="s">
        <v>362</v>
      </c>
      <c r="D64" t="s">
        <v>424</v>
      </c>
      <c r="E64" t="s">
        <v>367</v>
      </c>
      <c r="F64" t="s">
        <v>393</v>
      </c>
      <c r="G64" s="11">
        <v>12</v>
      </c>
      <c r="H64" s="11">
        <v>13.7</v>
      </c>
      <c r="I64" s="11">
        <v>4.8</v>
      </c>
      <c r="J64" s="11">
        <v>3.5</v>
      </c>
      <c r="K64" s="7">
        <v>4.1900000000000004</v>
      </c>
      <c r="L64" s="11">
        <v>47.3</v>
      </c>
      <c r="M64" s="7">
        <v>0.32</v>
      </c>
      <c r="N64" s="7">
        <v>0.45</v>
      </c>
      <c r="O64" s="4">
        <v>25</v>
      </c>
      <c r="P64" s="11">
        <v>0.5</v>
      </c>
      <c r="Q64" s="11">
        <v>1.3</v>
      </c>
      <c r="R64" s="11">
        <v>0.7</v>
      </c>
      <c r="S64" s="11">
        <v>0.5</v>
      </c>
      <c r="T64" s="11">
        <v>0.7</v>
      </c>
      <c r="U64" s="11">
        <v>1.7</v>
      </c>
      <c r="V64" s="11">
        <v>2.7</v>
      </c>
      <c r="W64" s="11">
        <v>0.7</v>
      </c>
      <c r="X64" s="5">
        <v>45974.688668981478</v>
      </c>
      <c r="Y64" s="5">
        <v>45974.688784722224</v>
      </c>
      <c r="Z64" s="6">
        <v>1.1574075324460864E-4</v>
      </c>
    </row>
    <row r="65" spans="1:26" hidden="1" x14ac:dyDescent="0.3">
      <c r="A65" s="2">
        <v>333</v>
      </c>
      <c r="B65" t="s">
        <v>487</v>
      </c>
      <c r="C65" t="s">
        <v>362</v>
      </c>
      <c r="D65" t="s">
        <v>424</v>
      </c>
      <c r="E65" t="s">
        <v>367</v>
      </c>
      <c r="F65" t="s">
        <v>393</v>
      </c>
      <c r="G65" s="11">
        <v>11.9</v>
      </c>
      <c r="H65" s="11">
        <v>14.1</v>
      </c>
      <c r="I65" s="11">
        <v>5.0999999999999996</v>
      </c>
      <c r="J65" s="11">
        <v>3.5</v>
      </c>
      <c r="K65" s="7">
        <v>4.34</v>
      </c>
      <c r="L65" s="11">
        <v>45.9</v>
      </c>
      <c r="M65" s="7">
        <v>0.33</v>
      </c>
      <c r="N65" s="7">
        <v>0.48</v>
      </c>
      <c r="O65" s="4">
        <v>25</v>
      </c>
      <c r="P65" s="11">
        <v>0.6</v>
      </c>
      <c r="Q65" s="11">
        <v>1.1000000000000001</v>
      </c>
      <c r="R65" s="11">
        <v>0.8</v>
      </c>
      <c r="S65" s="11">
        <v>0.5</v>
      </c>
      <c r="T65" s="11">
        <v>0.6</v>
      </c>
      <c r="U65" s="11">
        <v>1.6</v>
      </c>
      <c r="V65" s="11">
        <v>2.8</v>
      </c>
      <c r="W65" s="11">
        <v>0.6</v>
      </c>
      <c r="X65" s="5">
        <v>45974.688923611109</v>
      </c>
      <c r="Y65" s="5">
        <v>45974.689120370371</v>
      </c>
      <c r="Z65" s="6">
        <v>1.9675926887430251E-4</v>
      </c>
    </row>
    <row r="66" spans="1:26" hidden="1" x14ac:dyDescent="0.3">
      <c r="A66" s="2">
        <v>334</v>
      </c>
      <c r="B66" t="s">
        <v>488</v>
      </c>
      <c r="C66" t="s">
        <v>353</v>
      </c>
      <c r="D66" t="s">
        <v>26</v>
      </c>
      <c r="E66" t="s">
        <v>26</v>
      </c>
      <c r="F66" t="s">
        <v>393</v>
      </c>
      <c r="G66" s="11">
        <v>34.6</v>
      </c>
      <c r="H66" s="11">
        <v>82.1</v>
      </c>
      <c r="I66" s="11">
        <v>16.100000000000001</v>
      </c>
      <c r="J66" s="3" t="s">
        <v>54</v>
      </c>
      <c r="K66" s="7">
        <v>2.0499999999999998</v>
      </c>
      <c r="L66" s="3" t="s">
        <v>54</v>
      </c>
      <c r="M66" s="3" t="s">
        <v>252</v>
      </c>
      <c r="N66" s="7">
        <v>8.34</v>
      </c>
      <c r="O66" s="4">
        <v>25</v>
      </c>
      <c r="P66" s="3" t="s">
        <v>253</v>
      </c>
      <c r="Q66" s="3" t="s">
        <v>321</v>
      </c>
      <c r="R66" s="3" t="s">
        <v>319</v>
      </c>
      <c r="S66" s="3" t="s">
        <v>68</v>
      </c>
      <c r="T66" s="3" t="s">
        <v>68</v>
      </c>
      <c r="U66" s="3" t="s">
        <v>321</v>
      </c>
      <c r="V66" s="3" t="s">
        <v>421</v>
      </c>
      <c r="W66" s="3" t="s">
        <v>422</v>
      </c>
      <c r="X66" s="5">
        <v>45975.490254629629</v>
      </c>
      <c r="Y66" s="5">
        <v>45975.490659722222</v>
      </c>
      <c r="Z66" s="6">
        <v>4.0509257814846933E-4</v>
      </c>
    </row>
    <row r="67" spans="1:26" x14ac:dyDescent="0.3">
      <c r="A67" s="2">
        <v>335</v>
      </c>
      <c r="B67" t="s">
        <v>489</v>
      </c>
      <c r="C67" t="s">
        <v>353</v>
      </c>
      <c r="D67" t="s">
        <v>424</v>
      </c>
      <c r="E67" t="s">
        <v>371</v>
      </c>
      <c r="F67" t="s">
        <v>393</v>
      </c>
      <c r="G67" s="11">
        <v>11.8</v>
      </c>
      <c r="H67" s="11">
        <v>14.8</v>
      </c>
      <c r="I67" s="11">
        <v>5.2</v>
      </c>
      <c r="J67" s="11">
        <v>3.3</v>
      </c>
      <c r="K67" s="7">
        <v>4.03</v>
      </c>
      <c r="L67" s="11">
        <v>46</v>
      </c>
      <c r="M67" s="7">
        <v>0.26</v>
      </c>
      <c r="N67" s="7">
        <v>0.5</v>
      </c>
      <c r="O67" s="4">
        <v>25</v>
      </c>
      <c r="P67" s="11">
        <v>0.7</v>
      </c>
      <c r="Q67" s="11">
        <v>2.1</v>
      </c>
      <c r="R67" s="11">
        <v>1.5</v>
      </c>
      <c r="S67" s="11">
        <v>1.1000000000000001</v>
      </c>
      <c r="T67" s="11">
        <v>0.7</v>
      </c>
      <c r="U67" s="11">
        <v>2.1</v>
      </c>
      <c r="V67" s="11">
        <v>3.6</v>
      </c>
      <c r="W67" s="11">
        <v>0.9</v>
      </c>
      <c r="X67" s="5">
        <v>45975.518090277779</v>
      </c>
      <c r="Y67" s="5">
        <v>45975.518541666665</v>
      </c>
      <c r="Z67" s="6">
        <v>4.5138888526707888E-4</v>
      </c>
    </row>
    <row r="68" spans="1:26" x14ac:dyDescent="0.3">
      <c r="A68" s="2">
        <v>336</v>
      </c>
      <c r="B68" t="s">
        <v>490</v>
      </c>
      <c r="C68" t="s">
        <v>353</v>
      </c>
      <c r="D68" t="s">
        <v>424</v>
      </c>
      <c r="E68" t="s">
        <v>371</v>
      </c>
      <c r="F68" t="s">
        <v>393</v>
      </c>
      <c r="G68" s="11">
        <v>11.9</v>
      </c>
      <c r="H68" s="11">
        <v>14.5</v>
      </c>
      <c r="I68" s="11">
        <v>5.2</v>
      </c>
      <c r="J68" s="11">
        <v>3.4</v>
      </c>
      <c r="K68" s="7">
        <v>4.0199999999999996</v>
      </c>
      <c r="L68" s="11">
        <v>46</v>
      </c>
      <c r="M68" s="7">
        <v>0.22</v>
      </c>
      <c r="N68" s="7">
        <v>0.51</v>
      </c>
      <c r="O68" s="4">
        <v>25</v>
      </c>
      <c r="P68" s="11">
        <v>0.7</v>
      </c>
      <c r="Q68" s="11">
        <v>2</v>
      </c>
      <c r="R68" s="11">
        <v>1.5</v>
      </c>
      <c r="S68" s="11">
        <v>1</v>
      </c>
      <c r="T68" s="11">
        <v>0.7</v>
      </c>
      <c r="U68" s="11">
        <v>2</v>
      </c>
      <c r="V68" s="11">
        <v>3.9</v>
      </c>
      <c r="W68" s="11">
        <v>0.8</v>
      </c>
      <c r="X68" s="5">
        <v>45975.518750000003</v>
      </c>
      <c r="Y68" s="5">
        <v>45975.518993055557</v>
      </c>
      <c r="Z68" s="6">
        <v>2.430555468890816E-4</v>
      </c>
    </row>
    <row r="69" spans="1:26" x14ac:dyDescent="0.3">
      <c r="A69" s="2">
        <v>337</v>
      </c>
      <c r="B69" t="s">
        <v>491</v>
      </c>
      <c r="C69" t="s">
        <v>353</v>
      </c>
      <c r="D69" t="s">
        <v>424</v>
      </c>
      <c r="E69" t="s">
        <v>371</v>
      </c>
      <c r="F69" t="s">
        <v>393</v>
      </c>
      <c r="G69" s="11">
        <v>11.9</v>
      </c>
      <c r="H69" s="11">
        <v>14.1</v>
      </c>
      <c r="I69" s="11">
        <v>5.2</v>
      </c>
      <c r="J69" s="11">
        <v>3.3</v>
      </c>
      <c r="K69" s="7">
        <v>4.04</v>
      </c>
      <c r="L69" s="11">
        <v>47.4</v>
      </c>
      <c r="M69" s="7">
        <v>0.25</v>
      </c>
      <c r="N69" s="7">
        <v>0.52</v>
      </c>
      <c r="O69" s="4">
        <v>25</v>
      </c>
      <c r="P69" s="11">
        <v>1.4</v>
      </c>
      <c r="Q69" s="11">
        <v>2</v>
      </c>
      <c r="R69" s="11">
        <v>2.8</v>
      </c>
      <c r="S69" s="11">
        <v>0.7</v>
      </c>
      <c r="T69" s="11">
        <v>1.1000000000000001</v>
      </c>
      <c r="U69" s="11">
        <v>2.4</v>
      </c>
      <c r="V69" s="11">
        <v>3.9</v>
      </c>
      <c r="W69" s="11">
        <v>1.1000000000000001</v>
      </c>
      <c r="X69" s="5">
        <v>45975.519999999997</v>
      </c>
      <c r="Y69" s="5">
        <v>45975.523356481484</v>
      </c>
      <c r="Z69" s="6">
        <v>3.3564814948476851E-3</v>
      </c>
    </row>
    <row r="70" spans="1:26" hidden="1" x14ac:dyDescent="0.3">
      <c r="A70" s="2">
        <v>338</v>
      </c>
      <c r="B70" t="s">
        <v>492</v>
      </c>
      <c r="C70" t="s">
        <v>353</v>
      </c>
      <c r="D70" t="s">
        <v>424</v>
      </c>
      <c r="E70" t="s">
        <v>375</v>
      </c>
      <c r="F70" t="s">
        <v>393</v>
      </c>
      <c r="G70" s="11">
        <v>11.9</v>
      </c>
      <c r="H70" s="11">
        <v>14.7</v>
      </c>
      <c r="I70" s="11">
        <v>4.9000000000000004</v>
      </c>
      <c r="J70" s="11">
        <v>3.6</v>
      </c>
      <c r="K70" s="7">
        <v>4.32</v>
      </c>
      <c r="L70" s="11">
        <v>45.5</v>
      </c>
      <c r="M70" s="7">
        <v>0.34</v>
      </c>
      <c r="N70" s="7">
        <v>0.46</v>
      </c>
      <c r="O70" s="4">
        <v>25</v>
      </c>
      <c r="P70" s="11">
        <v>0.4</v>
      </c>
      <c r="Q70" s="11">
        <v>1.4</v>
      </c>
      <c r="R70" s="11">
        <v>0.5</v>
      </c>
      <c r="S70" s="11">
        <v>0.6</v>
      </c>
      <c r="T70" s="11">
        <v>0.5</v>
      </c>
      <c r="U70" s="11">
        <v>1.5</v>
      </c>
      <c r="V70" s="11">
        <v>2.5</v>
      </c>
      <c r="W70" s="11">
        <v>0.6</v>
      </c>
      <c r="X70" s="5">
        <v>45975.613425925927</v>
      </c>
      <c r="Y70" s="5">
        <v>45975.613634259258</v>
      </c>
      <c r="Z70" s="6">
        <v>2.0833333837799728E-4</v>
      </c>
    </row>
    <row r="71" spans="1:26" hidden="1" x14ac:dyDescent="0.3">
      <c r="A71" s="2">
        <v>339</v>
      </c>
      <c r="B71" t="s">
        <v>493</v>
      </c>
      <c r="C71" t="s">
        <v>353</v>
      </c>
      <c r="D71" t="s">
        <v>424</v>
      </c>
      <c r="E71" t="s">
        <v>375</v>
      </c>
      <c r="F71" t="s">
        <v>393</v>
      </c>
      <c r="G71" s="11">
        <v>11.9</v>
      </c>
      <c r="H71" s="11">
        <v>13.8</v>
      </c>
      <c r="I71" s="11">
        <v>4.9000000000000004</v>
      </c>
      <c r="J71" s="11">
        <v>3.6</v>
      </c>
      <c r="K71" s="7">
        <v>4.2</v>
      </c>
      <c r="L71" s="11">
        <v>47</v>
      </c>
      <c r="M71" s="7">
        <v>0.33</v>
      </c>
      <c r="N71" s="7">
        <v>0.46</v>
      </c>
      <c r="O71" s="4">
        <v>25</v>
      </c>
      <c r="P71" s="11">
        <v>0.4</v>
      </c>
      <c r="Q71" s="11">
        <v>1.2</v>
      </c>
      <c r="R71" s="11">
        <v>0.5</v>
      </c>
      <c r="S71" s="11">
        <v>0.5</v>
      </c>
      <c r="T71" s="11">
        <v>0.5</v>
      </c>
      <c r="U71" s="11">
        <v>1.5</v>
      </c>
      <c r="V71" s="11">
        <v>2.4</v>
      </c>
      <c r="W71" s="11">
        <v>0.6</v>
      </c>
      <c r="X71" s="5">
        <v>45975.61377314815</v>
      </c>
      <c r="Y71" s="5">
        <v>45975.613935185182</v>
      </c>
      <c r="Z71" s="6">
        <v>1.6203703125938773E-4</v>
      </c>
    </row>
    <row r="72" spans="1:26" hidden="1" x14ac:dyDescent="0.3">
      <c r="A72" s="2">
        <v>340</v>
      </c>
      <c r="B72" t="s">
        <v>494</v>
      </c>
      <c r="C72" t="s">
        <v>353</v>
      </c>
      <c r="D72" t="s">
        <v>424</v>
      </c>
      <c r="E72" t="s">
        <v>375</v>
      </c>
      <c r="F72" t="s">
        <v>393</v>
      </c>
      <c r="G72" s="11">
        <v>11.9</v>
      </c>
      <c r="H72" s="11">
        <v>14.4</v>
      </c>
      <c r="I72" s="11">
        <v>4.9000000000000004</v>
      </c>
      <c r="J72" s="11">
        <v>3.5</v>
      </c>
      <c r="K72" s="7">
        <v>4.25</v>
      </c>
      <c r="L72" s="11">
        <v>46.5</v>
      </c>
      <c r="M72" s="7">
        <v>0.32</v>
      </c>
      <c r="N72" s="7">
        <v>0.47</v>
      </c>
      <c r="O72" s="4">
        <v>25</v>
      </c>
      <c r="P72" s="11">
        <v>0.5</v>
      </c>
      <c r="Q72" s="11">
        <v>1.4</v>
      </c>
      <c r="R72" s="11">
        <v>0.7</v>
      </c>
      <c r="S72" s="11">
        <v>0.5</v>
      </c>
      <c r="T72" s="11">
        <v>0.7</v>
      </c>
      <c r="U72" s="11">
        <v>1.8</v>
      </c>
      <c r="V72" s="11">
        <v>2.9</v>
      </c>
      <c r="W72" s="11">
        <v>0.5</v>
      </c>
      <c r="X72" s="5">
        <v>45975.614039351851</v>
      </c>
      <c r="Y72" s="5">
        <v>45975.614236111112</v>
      </c>
      <c r="Z72" s="6">
        <v>2.0833333837799728E-4</v>
      </c>
    </row>
    <row r="73" spans="1:26" hidden="1" x14ac:dyDescent="0.3">
      <c r="A73" s="2">
        <v>341</v>
      </c>
      <c r="B73" t="s">
        <v>495</v>
      </c>
      <c r="C73" t="s">
        <v>353</v>
      </c>
      <c r="D73" t="s">
        <v>424</v>
      </c>
      <c r="E73" t="s">
        <v>375</v>
      </c>
      <c r="F73" t="s">
        <v>393</v>
      </c>
      <c r="G73" s="11">
        <v>11.9</v>
      </c>
      <c r="H73" s="11">
        <v>14.9</v>
      </c>
      <c r="I73" s="11">
        <v>4.8</v>
      </c>
      <c r="J73" s="11">
        <v>3.4</v>
      </c>
      <c r="K73" s="7">
        <v>4.25</v>
      </c>
      <c r="L73" s="11">
        <v>46</v>
      </c>
      <c r="M73" s="7">
        <v>0.38</v>
      </c>
      <c r="N73" s="7">
        <v>0.46</v>
      </c>
      <c r="O73" s="4">
        <v>25</v>
      </c>
      <c r="P73" s="11">
        <v>0.4</v>
      </c>
      <c r="Q73" s="11">
        <v>1.6</v>
      </c>
      <c r="R73" s="11">
        <v>0.6</v>
      </c>
      <c r="S73" s="11">
        <v>0.7</v>
      </c>
      <c r="T73" s="11">
        <v>0.6</v>
      </c>
      <c r="U73" s="11">
        <v>1.7</v>
      </c>
      <c r="V73" s="11">
        <v>2.1</v>
      </c>
      <c r="W73" s="11">
        <v>0.6</v>
      </c>
      <c r="X73" s="5">
        <v>45978.492986111109</v>
      </c>
      <c r="Y73" s="5">
        <v>45978.49318287037</v>
      </c>
      <c r="Z73" s="6">
        <v>1.9675926887430251E-4</v>
      </c>
    </row>
    <row r="74" spans="1:26" hidden="1" x14ac:dyDescent="0.3">
      <c r="A74" s="2">
        <v>342</v>
      </c>
      <c r="B74" t="s">
        <v>496</v>
      </c>
      <c r="C74" t="s">
        <v>353</v>
      </c>
      <c r="D74" t="s">
        <v>424</v>
      </c>
      <c r="E74" t="s">
        <v>375</v>
      </c>
      <c r="F74" t="s">
        <v>393</v>
      </c>
      <c r="G74" s="11">
        <v>11.9</v>
      </c>
      <c r="H74" s="11">
        <v>14.4</v>
      </c>
      <c r="I74" s="11">
        <v>5</v>
      </c>
      <c r="J74" s="11">
        <v>3.4</v>
      </c>
      <c r="K74" s="7">
        <v>4.25</v>
      </c>
      <c r="L74" s="11">
        <v>46.4</v>
      </c>
      <c r="M74" s="7">
        <v>0.33</v>
      </c>
      <c r="N74" s="7">
        <v>0.45</v>
      </c>
      <c r="O74" s="4">
        <v>25</v>
      </c>
      <c r="P74" s="11">
        <v>0.4</v>
      </c>
      <c r="Q74" s="11">
        <v>1.4</v>
      </c>
      <c r="R74" s="11">
        <v>0.5</v>
      </c>
      <c r="S74" s="11">
        <v>0.6</v>
      </c>
      <c r="T74" s="11">
        <v>0.6</v>
      </c>
      <c r="U74" s="11">
        <v>1.5</v>
      </c>
      <c r="V74" s="11">
        <v>2.6</v>
      </c>
      <c r="W74" s="11">
        <v>0.7</v>
      </c>
      <c r="X74" s="5">
        <v>45978.493368055555</v>
      </c>
      <c r="Y74" s="5">
        <v>45978.493518518517</v>
      </c>
      <c r="Z74" s="6">
        <v>1.6203703125938773E-4</v>
      </c>
    </row>
    <row r="75" spans="1:26" hidden="1" x14ac:dyDescent="0.3">
      <c r="A75" s="2">
        <v>343</v>
      </c>
      <c r="B75" t="s">
        <v>497</v>
      </c>
      <c r="C75" t="s">
        <v>353</v>
      </c>
      <c r="D75" t="s">
        <v>424</v>
      </c>
      <c r="E75" t="s">
        <v>375</v>
      </c>
      <c r="F75" t="s">
        <v>393</v>
      </c>
      <c r="G75" s="11">
        <v>11.9</v>
      </c>
      <c r="H75" s="11">
        <v>15.3</v>
      </c>
      <c r="I75" s="11">
        <v>5</v>
      </c>
      <c r="J75" s="11">
        <v>3.8</v>
      </c>
      <c r="K75" s="7">
        <v>4.47</v>
      </c>
      <c r="L75" s="11">
        <v>43.8</v>
      </c>
      <c r="M75" s="7">
        <v>0.34</v>
      </c>
      <c r="N75" s="7">
        <v>0.52</v>
      </c>
      <c r="O75" s="4">
        <v>25</v>
      </c>
      <c r="P75" s="11">
        <v>0.4</v>
      </c>
      <c r="Q75" s="11">
        <v>1.5</v>
      </c>
      <c r="R75" s="11">
        <v>0.5</v>
      </c>
      <c r="S75" s="11">
        <v>0.6</v>
      </c>
      <c r="T75" s="11">
        <v>0.4</v>
      </c>
      <c r="U75" s="11">
        <v>1.4</v>
      </c>
      <c r="V75" s="11">
        <v>2.7</v>
      </c>
      <c r="W75" s="11">
        <v>0.5</v>
      </c>
      <c r="X75" s="5">
        <v>45978.493645833332</v>
      </c>
      <c r="Y75" s="5">
        <v>45978.493877314817</v>
      </c>
      <c r="Z75" s="6">
        <v>2.3148147738538682E-4</v>
      </c>
    </row>
    <row r="76" spans="1:26" x14ac:dyDescent="0.3">
      <c r="A76" s="2">
        <v>344</v>
      </c>
      <c r="B76" t="s">
        <v>498</v>
      </c>
      <c r="C76" t="s">
        <v>353</v>
      </c>
      <c r="D76" t="s">
        <v>424</v>
      </c>
      <c r="E76" t="s">
        <v>382</v>
      </c>
      <c r="F76" t="s">
        <v>393</v>
      </c>
      <c r="G76" s="11">
        <v>11.8</v>
      </c>
      <c r="H76" s="11">
        <v>14.7</v>
      </c>
      <c r="I76" s="11">
        <v>5.3</v>
      </c>
      <c r="J76" s="11">
        <v>3.2</v>
      </c>
      <c r="K76" s="7">
        <v>4.05</v>
      </c>
      <c r="L76" s="11">
        <v>46.4</v>
      </c>
      <c r="M76" s="7">
        <v>0.3</v>
      </c>
      <c r="N76" s="7">
        <v>0.45</v>
      </c>
      <c r="O76" s="4">
        <v>25</v>
      </c>
      <c r="P76" s="11">
        <v>0.7</v>
      </c>
      <c r="Q76" s="11">
        <v>1.8</v>
      </c>
      <c r="R76" s="11">
        <v>1.2</v>
      </c>
      <c r="S76" s="11">
        <v>1</v>
      </c>
      <c r="T76" s="11">
        <v>0.8</v>
      </c>
      <c r="U76" s="11">
        <v>2</v>
      </c>
      <c r="V76" s="11">
        <v>3.1</v>
      </c>
      <c r="W76" s="11">
        <v>0.9</v>
      </c>
      <c r="X76" s="5">
        <v>45978.506180555552</v>
      </c>
      <c r="Y76" s="5">
        <v>45978.506481481483</v>
      </c>
      <c r="Z76" s="6">
        <v>3.0092592351138592E-4</v>
      </c>
    </row>
    <row r="77" spans="1:26" x14ac:dyDescent="0.3">
      <c r="A77" s="2">
        <v>345</v>
      </c>
      <c r="B77" t="s">
        <v>499</v>
      </c>
      <c r="C77" t="s">
        <v>353</v>
      </c>
      <c r="D77" t="s">
        <v>424</v>
      </c>
      <c r="E77" t="s">
        <v>382</v>
      </c>
      <c r="F77" t="s">
        <v>393</v>
      </c>
      <c r="G77" s="11">
        <v>11.8</v>
      </c>
      <c r="H77" s="11">
        <v>14.7</v>
      </c>
      <c r="I77" s="11">
        <v>5.0999999999999996</v>
      </c>
      <c r="J77" s="11">
        <v>3.3</v>
      </c>
      <c r="K77" s="7">
        <v>4.0599999999999996</v>
      </c>
      <c r="L77" s="11">
        <v>46.3</v>
      </c>
      <c r="M77" s="7">
        <v>0.3</v>
      </c>
      <c r="N77" s="7">
        <v>0.47</v>
      </c>
      <c r="O77" s="4">
        <v>25</v>
      </c>
      <c r="P77" s="11">
        <v>0.7</v>
      </c>
      <c r="Q77" s="11">
        <v>1.9</v>
      </c>
      <c r="R77" s="11">
        <v>1.4</v>
      </c>
      <c r="S77" s="11">
        <v>0.7</v>
      </c>
      <c r="T77" s="11">
        <v>0.8</v>
      </c>
      <c r="U77" s="11">
        <v>2.2000000000000002</v>
      </c>
      <c r="V77" s="11">
        <v>3.2</v>
      </c>
      <c r="W77" s="11">
        <v>0.7</v>
      </c>
      <c r="X77" s="5">
        <v>45978.506620370368</v>
      </c>
      <c r="Y77" s="5">
        <v>45978.50675925926</v>
      </c>
      <c r="Z77" s="6">
        <v>1.3888889225199819E-4</v>
      </c>
    </row>
    <row r="78" spans="1:26" x14ac:dyDescent="0.3">
      <c r="A78" s="2">
        <v>346</v>
      </c>
      <c r="B78" t="s">
        <v>500</v>
      </c>
      <c r="C78" t="s">
        <v>353</v>
      </c>
      <c r="D78" t="s">
        <v>424</v>
      </c>
      <c r="E78" t="s">
        <v>382</v>
      </c>
      <c r="F78" t="s">
        <v>393</v>
      </c>
      <c r="G78" s="11">
        <v>11.9</v>
      </c>
      <c r="H78" s="11">
        <v>14</v>
      </c>
      <c r="I78" s="11">
        <v>5</v>
      </c>
      <c r="J78" s="11">
        <v>3.3</v>
      </c>
      <c r="K78" s="7">
        <v>3.93</v>
      </c>
      <c r="L78" s="11">
        <v>47.5</v>
      </c>
      <c r="M78" s="7">
        <v>0.25</v>
      </c>
      <c r="N78" s="7">
        <v>0.46</v>
      </c>
      <c r="O78" s="4">
        <v>25</v>
      </c>
      <c r="P78" s="11">
        <v>0.7</v>
      </c>
      <c r="Q78" s="11">
        <v>1.7</v>
      </c>
      <c r="R78" s="11">
        <v>1.4</v>
      </c>
      <c r="S78" s="11">
        <v>0.7</v>
      </c>
      <c r="T78" s="11">
        <v>1</v>
      </c>
      <c r="U78" s="11">
        <v>1.9</v>
      </c>
      <c r="V78" s="11">
        <v>3.5</v>
      </c>
      <c r="W78" s="11">
        <v>0.8</v>
      </c>
      <c r="X78" s="5">
        <v>45978.506863425922</v>
      </c>
      <c r="Y78" s="5">
        <v>45978.507013888891</v>
      </c>
      <c r="Z78" s="6">
        <v>1.3888889225199819E-4</v>
      </c>
    </row>
    <row r="79" spans="1:26" hidden="1" x14ac:dyDescent="0.3">
      <c r="A79" s="2">
        <v>347</v>
      </c>
      <c r="B79" t="s">
        <v>501</v>
      </c>
      <c r="C79" t="s">
        <v>353</v>
      </c>
      <c r="D79" t="s">
        <v>424</v>
      </c>
      <c r="E79" t="s">
        <v>502</v>
      </c>
      <c r="F79" t="s">
        <v>393</v>
      </c>
      <c r="G79" s="11">
        <v>11.8</v>
      </c>
      <c r="H79" s="11">
        <v>15.6</v>
      </c>
      <c r="I79" s="11">
        <v>5.2</v>
      </c>
      <c r="J79" s="11">
        <v>3.6</v>
      </c>
      <c r="K79" s="7">
        <v>4.21</v>
      </c>
      <c r="L79" s="11">
        <v>44.1</v>
      </c>
      <c r="M79" s="7">
        <v>0.22</v>
      </c>
      <c r="N79" s="7">
        <v>0.56000000000000005</v>
      </c>
      <c r="O79" s="4">
        <v>25</v>
      </c>
      <c r="P79" s="11">
        <v>0.5</v>
      </c>
      <c r="Q79" s="11">
        <v>2.5</v>
      </c>
      <c r="R79" s="11">
        <v>1.6</v>
      </c>
      <c r="S79" s="11">
        <v>0.8</v>
      </c>
      <c r="T79" s="11">
        <v>0.6</v>
      </c>
      <c r="U79" s="11">
        <v>1.8</v>
      </c>
      <c r="V79" s="11">
        <v>4.5</v>
      </c>
      <c r="W79" s="11">
        <v>0.5</v>
      </c>
      <c r="X79" s="5">
        <v>45978.523530092592</v>
      </c>
      <c r="Y79" s="5">
        <v>45978.523923611108</v>
      </c>
      <c r="Z79" s="6">
        <v>3.9351850864477456E-4</v>
      </c>
    </row>
    <row r="80" spans="1:26" hidden="1" x14ac:dyDescent="0.3">
      <c r="A80" s="2">
        <v>348</v>
      </c>
      <c r="B80" t="s">
        <v>503</v>
      </c>
      <c r="C80" t="s">
        <v>353</v>
      </c>
      <c r="D80" t="s">
        <v>424</v>
      </c>
      <c r="E80" t="s">
        <v>502</v>
      </c>
      <c r="F80" t="s">
        <v>393</v>
      </c>
      <c r="G80" s="11">
        <v>11.8</v>
      </c>
      <c r="H80" s="11">
        <v>15.5</v>
      </c>
      <c r="I80" s="11">
        <v>5.2</v>
      </c>
      <c r="J80" s="11">
        <v>3.6</v>
      </c>
      <c r="K80" s="7">
        <v>4.24</v>
      </c>
      <c r="L80" s="11">
        <v>43.9</v>
      </c>
      <c r="M80" s="7">
        <v>0.16</v>
      </c>
      <c r="N80" s="7">
        <v>0.57999999999999996</v>
      </c>
      <c r="O80" s="4">
        <v>25</v>
      </c>
      <c r="P80" s="11">
        <v>0.5</v>
      </c>
      <c r="Q80" s="11">
        <v>2.5</v>
      </c>
      <c r="R80" s="11">
        <v>2</v>
      </c>
      <c r="S80" s="11">
        <v>0.6</v>
      </c>
      <c r="T80" s="11">
        <v>0.5</v>
      </c>
      <c r="U80" s="11">
        <v>1.9</v>
      </c>
      <c r="V80" s="11">
        <v>5.4</v>
      </c>
      <c r="W80" s="11">
        <v>0.6</v>
      </c>
      <c r="X80" s="5">
        <v>45978.524074074077</v>
      </c>
      <c r="Y80" s="5">
        <v>45978.524259259262</v>
      </c>
      <c r="Z80" s="6">
        <v>1.8518519937060773E-4</v>
      </c>
    </row>
    <row r="81" spans="1:26" hidden="1" x14ac:dyDescent="0.3">
      <c r="A81" s="2">
        <v>349</v>
      </c>
      <c r="B81" t="s">
        <v>504</v>
      </c>
      <c r="C81" t="s">
        <v>353</v>
      </c>
      <c r="D81" t="s">
        <v>424</v>
      </c>
      <c r="E81" t="s">
        <v>502</v>
      </c>
      <c r="F81" t="s">
        <v>393</v>
      </c>
      <c r="G81" s="11">
        <v>11.9</v>
      </c>
      <c r="H81" s="11">
        <v>14.7</v>
      </c>
      <c r="I81" s="11">
        <v>5.0999999999999996</v>
      </c>
      <c r="J81" s="11">
        <v>3.4</v>
      </c>
      <c r="K81" s="7">
        <v>4.07</v>
      </c>
      <c r="L81" s="11">
        <v>45.8</v>
      </c>
      <c r="M81" s="7">
        <v>0.17</v>
      </c>
      <c r="N81" s="7">
        <v>0.55000000000000004</v>
      </c>
      <c r="O81" s="4">
        <v>25</v>
      </c>
      <c r="P81" s="11">
        <v>0.6</v>
      </c>
      <c r="Q81" s="11">
        <v>2.1</v>
      </c>
      <c r="R81" s="11">
        <v>2.2000000000000002</v>
      </c>
      <c r="S81" s="11">
        <v>0.5</v>
      </c>
      <c r="T81" s="11">
        <v>0.8</v>
      </c>
      <c r="U81" s="11">
        <v>1.8</v>
      </c>
      <c r="V81" s="11">
        <v>4.9000000000000004</v>
      </c>
      <c r="W81" s="11">
        <v>0.8</v>
      </c>
      <c r="X81" s="5">
        <v>45978.524375000001</v>
      </c>
      <c r="Y81" s="5">
        <v>45978.524768518517</v>
      </c>
      <c r="Z81" s="6">
        <v>3.9351850864477456E-4</v>
      </c>
    </row>
    <row r="82" spans="1:26" x14ac:dyDescent="0.3">
      <c r="A82" s="2">
        <v>350</v>
      </c>
      <c r="B82" t="s">
        <v>505</v>
      </c>
      <c r="C82" t="s">
        <v>353</v>
      </c>
      <c r="D82" t="s">
        <v>424</v>
      </c>
      <c r="E82" t="s">
        <v>386</v>
      </c>
      <c r="F82" t="s">
        <v>393</v>
      </c>
      <c r="G82" s="11">
        <v>11.8</v>
      </c>
      <c r="H82" s="11">
        <v>14.6</v>
      </c>
      <c r="I82" s="11">
        <v>5</v>
      </c>
      <c r="J82" s="11">
        <v>3.4</v>
      </c>
      <c r="K82" s="7">
        <v>3.93</v>
      </c>
      <c r="L82" s="11">
        <v>47.5</v>
      </c>
      <c r="M82" s="7">
        <v>0.22</v>
      </c>
      <c r="N82" s="7">
        <v>0.48</v>
      </c>
      <c r="O82" s="4">
        <v>25</v>
      </c>
      <c r="P82" s="11">
        <v>0.8</v>
      </c>
      <c r="Q82" s="11">
        <v>2.2999999999999998</v>
      </c>
      <c r="R82" s="11">
        <v>1.6</v>
      </c>
      <c r="S82" s="11">
        <v>1</v>
      </c>
      <c r="T82" s="11">
        <v>1</v>
      </c>
      <c r="U82" s="11">
        <v>2.2999999999999998</v>
      </c>
      <c r="V82" s="11">
        <v>4.4000000000000004</v>
      </c>
      <c r="W82" s="11">
        <v>0.8</v>
      </c>
      <c r="X82" s="5">
        <v>45978.535127314812</v>
      </c>
      <c r="Y82" s="5">
        <v>45978.535393518519</v>
      </c>
      <c r="Z82" s="6">
        <v>2.662037150003016E-4</v>
      </c>
    </row>
    <row r="83" spans="1:26" x14ac:dyDescent="0.3">
      <c r="A83" s="2">
        <v>351</v>
      </c>
      <c r="B83" t="s">
        <v>506</v>
      </c>
      <c r="C83" t="s">
        <v>353</v>
      </c>
      <c r="D83" t="s">
        <v>424</v>
      </c>
      <c r="E83" t="s">
        <v>386</v>
      </c>
      <c r="F83" t="s">
        <v>393</v>
      </c>
      <c r="G83" s="11">
        <v>11.9</v>
      </c>
      <c r="H83" s="11">
        <v>14</v>
      </c>
      <c r="I83" s="11">
        <v>5.2</v>
      </c>
      <c r="J83" s="11">
        <v>3.4</v>
      </c>
      <c r="K83" s="7">
        <v>3.95</v>
      </c>
      <c r="L83" s="11">
        <v>47.5</v>
      </c>
      <c r="M83" s="7">
        <v>0.21</v>
      </c>
      <c r="N83" s="7">
        <v>0.46</v>
      </c>
      <c r="O83" s="4">
        <v>25</v>
      </c>
      <c r="P83" s="11">
        <v>0.6</v>
      </c>
      <c r="Q83" s="11">
        <v>1.7</v>
      </c>
      <c r="R83" s="11">
        <v>1.5</v>
      </c>
      <c r="S83" s="11">
        <v>0.8</v>
      </c>
      <c r="T83" s="11">
        <v>0.9</v>
      </c>
      <c r="U83" s="11">
        <v>1.7</v>
      </c>
      <c r="V83" s="11">
        <v>4</v>
      </c>
      <c r="W83" s="11">
        <v>0.7</v>
      </c>
      <c r="X83" s="5">
        <v>45978.535555555558</v>
      </c>
      <c r="Y83" s="5">
        <v>45978.53570601852</v>
      </c>
      <c r="Z83" s="6">
        <v>1.5046296175569296E-4</v>
      </c>
    </row>
    <row r="84" spans="1:26" x14ac:dyDescent="0.3">
      <c r="A84" s="2">
        <v>352</v>
      </c>
      <c r="B84" t="s">
        <v>507</v>
      </c>
      <c r="C84" t="s">
        <v>353</v>
      </c>
      <c r="D84" t="s">
        <v>424</v>
      </c>
      <c r="E84" t="s">
        <v>386</v>
      </c>
      <c r="F84" t="s">
        <v>393</v>
      </c>
      <c r="G84" s="11">
        <v>11.8</v>
      </c>
      <c r="H84" s="11">
        <v>14.1</v>
      </c>
      <c r="I84" s="11">
        <v>5.2</v>
      </c>
      <c r="J84" s="11">
        <v>3.6</v>
      </c>
      <c r="K84" s="7">
        <v>4.0599999999999996</v>
      </c>
      <c r="L84" s="11">
        <v>46.5</v>
      </c>
      <c r="M84" s="7">
        <v>0.25</v>
      </c>
      <c r="N84" s="7">
        <v>0.5</v>
      </c>
      <c r="O84" s="4">
        <v>25</v>
      </c>
      <c r="P84" s="11">
        <v>3.9</v>
      </c>
      <c r="Q84" s="11">
        <v>5.4</v>
      </c>
      <c r="R84" s="3" t="s">
        <v>319</v>
      </c>
      <c r="S84" s="11">
        <v>3</v>
      </c>
      <c r="T84" s="11">
        <v>4.0999999999999996</v>
      </c>
      <c r="U84" s="11">
        <v>22.1</v>
      </c>
      <c r="V84" s="11">
        <v>13.6</v>
      </c>
      <c r="W84" s="11">
        <v>6.6</v>
      </c>
      <c r="X84" s="5">
        <v>45978.535833333335</v>
      </c>
      <c r="Y84" s="5">
        <v>45978.536134259259</v>
      </c>
      <c r="Z84" s="6">
        <v>3.0092592351138592E-4</v>
      </c>
    </row>
    <row r="85" spans="1:26" hidden="1" x14ac:dyDescent="0.3">
      <c r="A85" s="2">
        <v>353</v>
      </c>
      <c r="B85" t="s">
        <v>508</v>
      </c>
      <c r="C85" t="s">
        <v>353</v>
      </c>
      <c r="D85" t="s">
        <v>424</v>
      </c>
      <c r="E85" t="s">
        <v>390</v>
      </c>
      <c r="F85" t="s">
        <v>393</v>
      </c>
      <c r="G85" s="11">
        <v>12</v>
      </c>
      <c r="H85" s="11">
        <v>14</v>
      </c>
      <c r="I85" s="11">
        <v>4.9000000000000004</v>
      </c>
      <c r="J85" s="11">
        <v>3.5</v>
      </c>
      <c r="K85" s="7">
        <v>4.13</v>
      </c>
      <c r="L85" s="11">
        <v>46.8</v>
      </c>
      <c r="M85" s="7">
        <v>0.31</v>
      </c>
      <c r="N85" s="7">
        <v>0.48</v>
      </c>
      <c r="O85" s="4">
        <v>25</v>
      </c>
      <c r="P85" s="11">
        <v>0.4</v>
      </c>
      <c r="Q85" s="11">
        <v>1.3</v>
      </c>
      <c r="R85" s="11">
        <v>0.5</v>
      </c>
      <c r="S85" s="11">
        <v>0.6</v>
      </c>
      <c r="T85" s="11">
        <v>0.6</v>
      </c>
      <c r="U85" s="11">
        <v>1.3</v>
      </c>
      <c r="V85" s="11">
        <v>2.6</v>
      </c>
      <c r="W85" s="11">
        <v>0.5</v>
      </c>
      <c r="X85" s="5">
        <v>45978.546539351853</v>
      </c>
      <c r="Y85" s="5">
        <v>45978.546759259261</v>
      </c>
      <c r="Z85" s="6">
        <v>2.3148147738538682E-4</v>
      </c>
    </row>
    <row r="86" spans="1:26" hidden="1" x14ac:dyDescent="0.3">
      <c r="A86" s="2">
        <v>354</v>
      </c>
      <c r="B86" t="s">
        <v>509</v>
      </c>
      <c r="C86" t="s">
        <v>353</v>
      </c>
      <c r="D86" t="s">
        <v>424</v>
      </c>
      <c r="E86" t="s">
        <v>390</v>
      </c>
      <c r="F86" t="s">
        <v>393</v>
      </c>
      <c r="G86" s="11">
        <v>12</v>
      </c>
      <c r="H86" s="11">
        <v>14.2</v>
      </c>
      <c r="I86" s="11">
        <v>4.9000000000000004</v>
      </c>
      <c r="J86" s="11">
        <v>3.5</v>
      </c>
      <c r="K86" s="7">
        <v>4.16</v>
      </c>
      <c r="L86" s="11">
        <v>47.4</v>
      </c>
      <c r="M86" s="7">
        <v>0.31</v>
      </c>
      <c r="N86" s="7">
        <v>0.5</v>
      </c>
      <c r="O86" s="4">
        <v>25</v>
      </c>
      <c r="P86" s="11">
        <v>0.5</v>
      </c>
      <c r="Q86" s="11">
        <v>1.2</v>
      </c>
      <c r="R86" s="11">
        <v>0.6</v>
      </c>
      <c r="S86" s="11">
        <v>0.5</v>
      </c>
      <c r="T86" s="11">
        <v>0.7</v>
      </c>
      <c r="U86" s="11">
        <v>1.5</v>
      </c>
      <c r="V86" s="11">
        <v>2.7</v>
      </c>
      <c r="W86" s="11">
        <v>0.5</v>
      </c>
      <c r="X86" s="5">
        <v>45978.546898148146</v>
      </c>
      <c r="Y86" s="5">
        <v>45978.547129629631</v>
      </c>
      <c r="Z86" s="6">
        <v>2.3148147738538682E-4</v>
      </c>
    </row>
    <row r="87" spans="1:26" hidden="1" x14ac:dyDescent="0.3">
      <c r="A87" s="2">
        <v>355</v>
      </c>
      <c r="B87" t="s">
        <v>510</v>
      </c>
      <c r="C87" t="s">
        <v>353</v>
      </c>
      <c r="D87" t="s">
        <v>424</v>
      </c>
      <c r="E87" t="s">
        <v>390</v>
      </c>
      <c r="F87" t="s">
        <v>393</v>
      </c>
      <c r="G87" s="11">
        <v>11.9</v>
      </c>
      <c r="H87" s="11">
        <v>14.3</v>
      </c>
      <c r="I87" s="11">
        <v>4.9000000000000004</v>
      </c>
      <c r="J87" s="11">
        <v>3.5</v>
      </c>
      <c r="K87" s="7">
        <v>4.18</v>
      </c>
      <c r="L87" s="11">
        <v>46.8</v>
      </c>
      <c r="M87" s="7">
        <v>0.34</v>
      </c>
      <c r="N87" s="7">
        <v>0.51</v>
      </c>
      <c r="O87" s="4">
        <v>25</v>
      </c>
      <c r="P87" s="11">
        <v>0.6</v>
      </c>
      <c r="Q87" s="11">
        <v>1.3</v>
      </c>
      <c r="R87" s="11">
        <v>0.8</v>
      </c>
      <c r="S87" s="11">
        <v>0.5</v>
      </c>
      <c r="T87" s="11">
        <v>0.7</v>
      </c>
      <c r="U87" s="11">
        <v>1.3</v>
      </c>
      <c r="V87" s="11">
        <v>2.5</v>
      </c>
      <c r="W87" s="11">
        <v>0.6</v>
      </c>
      <c r="X87" s="5">
        <v>45978.547222222223</v>
      </c>
      <c r="Y87" s="5">
        <v>45978.547523148147</v>
      </c>
      <c r="Z87" s="6">
        <v>3.0092592351138592E-4</v>
      </c>
    </row>
    <row r="88" spans="1:26" hidden="1" x14ac:dyDescent="0.3">
      <c r="B88" s="1" t="s">
        <v>42</v>
      </c>
      <c r="G88" s="9">
        <f t="shared" ref="G88:W88" si="0">AVERAGE(G4:G87)</f>
        <v>12.090243902439015</v>
      </c>
      <c r="H88" s="9">
        <f t="shared" si="0"/>
        <v>18.375641025641023</v>
      </c>
      <c r="I88" s="9">
        <f t="shared" si="0"/>
        <v>7.2795180722891581</v>
      </c>
      <c r="J88" s="9">
        <f t="shared" si="0"/>
        <v>4.0592592592592585</v>
      </c>
      <c r="K88" s="8">
        <f t="shared" si="0"/>
        <v>4.2056097560975614</v>
      </c>
      <c r="L88" s="9">
        <f t="shared" si="0"/>
        <v>45.420000000000009</v>
      </c>
      <c r="M88" s="8">
        <f t="shared" si="0"/>
        <v>0.64805194805194832</v>
      </c>
      <c r="N88" s="8">
        <f t="shared" si="0"/>
        <v>0.6150649350649352</v>
      </c>
      <c r="O88" s="10">
        <f t="shared" si="0"/>
        <v>25</v>
      </c>
      <c r="P88" s="9">
        <f t="shared" si="0"/>
        <v>1.2864864864864871</v>
      </c>
      <c r="Q88" s="9">
        <f t="shared" si="0"/>
        <v>2.4594594594594597</v>
      </c>
      <c r="R88" s="9">
        <f t="shared" si="0"/>
        <v>2.9383561643835612</v>
      </c>
      <c r="S88" s="9">
        <f t="shared" si="0"/>
        <v>1.494594594594594</v>
      </c>
      <c r="T88" s="9">
        <f t="shared" si="0"/>
        <v>1.1554054054054055</v>
      </c>
      <c r="U88" s="9">
        <f t="shared" si="0"/>
        <v>2.9567567567567576</v>
      </c>
      <c r="V88" s="9">
        <f t="shared" si="0"/>
        <v>3.8513513513513522</v>
      </c>
      <c r="W88" s="9">
        <f t="shared" si="0"/>
        <v>1.0716216216216214</v>
      </c>
    </row>
    <row r="89" spans="1:26" hidden="1" x14ac:dyDescent="0.3">
      <c r="B89" s="1" t="s">
        <v>43</v>
      </c>
      <c r="G89" s="9">
        <f t="shared" ref="G89:W89" si="1">MIN(G4:G87)</f>
        <v>0.2</v>
      </c>
      <c r="H89" s="9">
        <f t="shared" si="1"/>
        <v>13.7</v>
      </c>
      <c r="I89" s="9">
        <f t="shared" si="1"/>
        <v>2.2000000000000002</v>
      </c>
      <c r="J89" s="9">
        <f t="shared" si="1"/>
        <v>1.6</v>
      </c>
      <c r="K89" s="8">
        <f t="shared" si="1"/>
        <v>2.0499999999999998</v>
      </c>
      <c r="L89" s="9">
        <f t="shared" si="1"/>
        <v>2.7</v>
      </c>
      <c r="M89" s="8">
        <f t="shared" si="1"/>
        <v>0.16</v>
      </c>
      <c r="N89" s="8">
        <f t="shared" si="1"/>
        <v>0.24</v>
      </c>
      <c r="O89" s="10">
        <f t="shared" si="1"/>
        <v>25</v>
      </c>
      <c r="P89" s="9">
        <f t="shared" si="1"/>
        <v>0.4</v>
      </c>
      <c r="Q89" s="9">
        <f t="shared" si="1"/>
        <v>0.8</v>
      </c>
      <c r="R89" s="9">
        <f t="shared" si="1"/>
        <v>0.4</v>
      </c>
      <c r="S89" s="9">
        <f t="shared" si="1"/>
        <v>0.5</v>
      </c>
      <c r="T89" s="9">
        <f t="shared" si="1"/>
        <v>0.4</v>
      </c>
      <c r="U89" s="9">
        <f t="shared" si="1"/>
        <v>0.9</v>
      </c>
      <c r="V89" s="9">
        <f t="shared" si="1"/>
        <v>1.4</v>
      </c>
      <c r="W89" s="9">
        <f t="shared" si="1"/>
        <v>0.5</v>
      </c>
    </row>
    <row r="90" spans="1:26" hidden="1" x14ac:dyDescent="0.3">
      <c r="B90" s="1" t="s">
        <v>44</v>
      </c>
      <c r="G90" s="9">
        <f t="shared" ref="G90:W90" si="2">MAX(G4:G87)</f>
        <v>34.6</v>
      </c>
      <c r="H90" s="9">
        <f t="shared" si="2"/>
        <v>85.3</v>
      </c>
      <c r="I90" s="9">
        <f t="shared" si="2"/>
        <v>39.4</v>
      </c>
      <c r="J90" s="9">
        <f t="shared" si="2"/>
        <v>25.2</v>
      </c>
      <c r="K90" s="8">
        <f t="shared" si="2"/>
        <v>11.47</v>
      </c>
      <c r="L90" s="9">
        <f t="shared" si="2"/>
        <v>49.7</v>
      </c>
      <c r="M90" s="8">
        <f t="shared" si="2"/>
        <v>10.23</v>
      </c>
      <c r="N90" s="8">
        <f t="shared" si="2"/>
        <v>8.34</v>
      </c>
      <c r="O90" s="10">
        <f t="shared" si="2"/>
        <v>25</v>
      </c>
      <c r="P90" s="9">
        <f t="shared" si="2"/>
        <v>6.8</v>
      </c>
      <c r="Q90" s="9">
        <f t="shared" si="2"/>
        <v>11.4</v>
      </c>
      <c r="R90" s="9">
        <f t="shared" si="2"/>
        <v>23</v>
      </c>
      <c r="S90" s="9">
        <f t="shared" si="2"/>
        <v>10</v>
      </c>
      <c r="T90" s="9">
        <f t="shared" si="2"/>
        <v>4.0999999999999996</v>
      </c>
      <c r="U90" s="9">
        <f t="shared" si="2"/>
        <v>22.1</v>
      </c>
      <c r="V90" s="9">
        <f t="shared" si="2"/>
        <v>13.6</v>
      </c>
      <c r="W90" s="9">
        <f t="shared" si="2"/>
        <v>6.6</v>
      </c>
    </row>
    <row r="91" spans="1:26" hidden="1" x14ac:dyDescent="0.3">
      <c r="B91" s="1" t="s">
        <v>45</v>
      </c>
      <c r="G91" s="9">
        <f t="shared" ref="G91:W91" si="3">STDEV(G4:G87)</f>
        <v>3.5517204927043489</v>
      </c>
      <c r="H91" s="9">
        <f t="shared" si="3"/>
        <v>14.688463410988815</v>
      </c>
      <c r="I91" s="9">
        <f t="shared" si="3"/>
        <v>7.8903577933055038</v>
      </c>
      <c r="J91" s="9">
        <f t="shared" si="3"/>
        <v>3.5959274804206545</v>
      </c>
      <c r="K91" s="8">
        <f t="shared" si="3"/>
        <v>1.1295755758832822</v>
      </c>
      <c r="L91" s="9">
        <f t="shared" si="3"/>
        <v>5.270955603396013</v>
      </c>
      <c r="M91" s="8">
        <f t="shared" si="3"/>
        <v>1.6490731359743287</v>
      </c>
      <c r="N91" s="8">
        <f t="shared" si="3"/>
        <v>0.93587226886081676</v>
      </c>
      <c r="O91" s="10">
        <f t="shared" si="3"/>
        <v>0</v>
      </c>
      <c r="P91" s="9">
        <f t="shared" si="3"/>
        <v>1.506726863861078</v>
      </c>
      <c r="Q91" s="9">
        <f t="shared" si="3"/>
        <v>2.4970074647777616</v>
      </c>
      <c r="R91" s="9">
        <f t="shared" si="3"/>
        <v>5.271480662146554</v>
      </c>
      <c r="S91" s="9">
        <f t="shared" si="3"/>
        <v>2.2437060762681713</v>
      </c>
      <c r="T91" s="9">
        <f t="shared" si="3"/>
        <v>0.72227606225553853</v>
      </c>
      <c r="U91" s="9">
        <f t="shared" si="3"/>
        <v>3.558400482634962</v>
      </c>
      <c r="V91" s="9">
        <f t="shared" si="3"/>
        <v>2.7443213220570173</v>
      </c>
      <c r="W91" s="9">
        <f t="shared" si="3"/>
        <v>1.025499580260832</v>
      </c>
    </row>
    <row r="93" spans="1:26" x14ac:dyDescent="0.3">
      <c r="B93" s="1" t="s">
        <v>46</v>
      </c>
      <c r="G93" s="9" t="s">
        <v>47</v>
      </c>
      <c r="H93" s="9" t="s">
        <v>47</v>
      </c>
      <c r="I93" s="9" t="s">
        <v>47</v>
      </c>
      <c r="J93" s="9" t="s">
        <v>47</v>
      </c>
      <c r="K93" s="8" t="s">
        <v>47</v>
      </c>
      <c r="L93" s="9" t="s">
        <v>47</v>
      </c>
      <c r="M93" s="8" t="s">
        <v>47</v>
      </c>
      <c r="N93" s="8" t="s">
        <v>47</v>
      </c>
      <c r="O93" s="10" t="s">
        <v>47</v>
      </c>
      <c r="P93" s="9" t="s">
        <v>47</v>
      </c>
      <c r="Q93" s="9" t="s">
        <v>47</v>
      </c>
      <c r="R93" s="9" t="s">
        <v>47</v>
      </c>
      <c r="S93" s="9" t="s">
        <v>47</v>
      </c>
      <c r="T93" s="9" t="s">
        <v>47</v>
      </c>
      <c r="U93" s="9" t="s">
        <v>47</v>
      </c>
      <c r="V93" s="9" t="s">
        <v>47</v>
      </c>
      <c r="W93" s="9" t="s">
        <v>47</v>
      </c>
    </row>
  </sheetData>
  <autoFilter ref="A3:Z91" xr:uid="{2680C39D-B5A0-401D-BDA8-AA70D7CC61B4}">
    <filterColumn colId="2">
      <filters>
        <filter val="223FG007"/>
      </filters>
    </filterColumn>
    <filterColumn colId="4">
      <filters>
        <filter val="L1 - NBL"/>
        <filter val="L1 APM - BLF"/>
        <filter val="L1 APM - LBFNB"/>
        <filter val="L2 APM - BLFNB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4280-AB72-4DA8-B745-62C34F376A95}">
  <sheetPr filterMode="1"/>
  <dimension ref="A1:T79"/>
  <sheetViews>
    <sheetView topLeftCell="B1" workbookViewId="0">
      <selection activeCell="K44" sqref="K44:K70"/>
    </sheetView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17" width="11.6640625" bestFit="1" customWidth="1"/>
    <col min="18" max="19" width="17.88671875" bestFit="1" customWidth="1"/>
    <col min="20" max="20" width="11.6640625" bestFit="1" customWidth="1"/>
  </cols>
  <sheetData>
    <row r="1" spans="1:20" s="1" customFormat="1" ht="13.8" x14ac:dyDescent="0.25">
      <c r="A1" s="1" t="s">
        <v>0</v>
      </c>
    </row>
    <row r="3" spans="1:20" x14ac:dyDescent="0.3">
      <c r="A3" s="2" t="s">
        <v>1</v>
      </c>
      <c r="B3" s="2" t="s">
        <v>511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512</v>
      </c>
      <c r="J3" s="2" t="s">
        <v>10</v>
      </c>
      <c r="K3" s="2" t="s">
        <v>11</v>
      </c>
      <c r="L3" s="2" t="s">
        <v>19</v>
      </c>
      <c r="M3" s="2" t="s">
        <v>13</v>
      </c>
      <c r="N3" s="2" t="s">
        <v>14</v>
      </c>
      <c r="O3" s="2" t="s">
        <v>396</v>
      </c>
      <c r="P3" s="2" t="s">
        <v>16</v>
      </c>
      <c r="Q3" s="2" t="s">
        <v>17</v>
      </c>
      <c r="R3" s="2" t="s">
        <v>20</v>
      </c>
      <c r="S3" s="2" t="s">
        <v>21</v>
      </c>
      <c r="T3" s="2" t="s">
        <v>22</v>
      </c>
    </row>
    <row r="4" spans="1:20" hidden="1" x14ac:dyDescent="0.3">
      <c r="A4" s="2">
        <v>356</v>
      </c>
      <c r="B4" t="s">
        <v>513</v>
      </c>
      <c r="C4" t="s">
        <v>24</v>
      </c>
      <c r="D4" t="s">
        <v>514</v>
      </c>
      <c r="E4" t="s">
        <v>26</v>
      </c>
      <c r="F4" t="s">
        <v>511</v>
      </c>
      <c r="G4" s="11">
        <v>13.1</v>
      </c>
      <c r="H4" s="11">
        <v>45.6</v>
      </c>
      <c r="I4" s="11">
        <v>1.4</v>
      </c>
      <c r="J4" s="11">
        <v>5.4</v>
      </c>
      <c r="K4" s="7">
        <v>5.17</v>
      </c>
      <c r="L4" s="4">
        <v>25</v>
      </c>
      <c r="M4" s="11">
        <v>14.8</v>
      </c>
      <c r="N4" s="11">
        <v>8.4</v>
      </c>
      <c r="O4" s="11">
        <v>31.2</v>
      </c>
      <c r="P4" s="11">
        <v>3.3</v>
      </c>
      <c r="Q4" s="11">
        <v>10.4</v>
      </c>
      <c r="R4" s="5">
        <v>45972.415219907409</v>
      </c>
      <c r="S4" s="5">
        <v>45972.415370370371</v>
      </c>
      <c r="T4" s="6">
        <v>1.6203703125938773E-4</v>
      </c>
    </row>
    <row r="5" spans="1:20" hidden="1" x14ac:dyDescent="0.3">
      <c r="A5" s="2">
        <v>357</v>
      </c>
      <c r="B5" t="s">
        <v>515</v>
      </c>
      <c r="C5" t="s">
        <v>24</v>
      </c>
      <c r="D5" t="s">
        <v>516</v>
      </c>
      <c r="E5" t="s">
        <v>26</v>
      </c>
      <c r="F5" t="s">
        <v>511</v>
      </c>
      <c r="G5" s="11">
        <v>13.2</v>
      </c>
      <c r="H5" s="11">
        <v>45.7</v>
      </c>
      <c r="I5" s="11">
        <v>1.4</v>
      </c>
      <c r="J5" s="11">
        <v>5.4</v>
      </c>
      <c r="K5" s="7">
        <v>5.22</v>
      </c>
      <c r="L5" s="4">
        <v>25</v>
      </c>
      <c r="M5" s="11">
        <v>14.7</v>
      </c>
      <c r="N5" s="11">
        <v>8.5</v>
      </c>
      <c r="O5" s="11">
        <v>32.1</v>
      </c>
      <c r="P5" s="11">
        <v>2.5</v>
      </c>
      <c r="Q5" s="11">
        <v>9.8000000000000007</v>
      </c>
      <c r="R5" s="5">
        <v>45972.419710648152</v>
      </c>
      <c r="S5" s="5">
        <v>45972.419907407406</v>
      </c>
      <c r="T5" s="6">
        <v>2.0833333837799728E-4</v>
      </c>
    </row>
    <row r="6" spans="1:20" hidden="1" x14ac:dyDescent="0.3">
      <c r="A6" s="2">
        <v>358</v>
      </c>
      <c r="B6" t="s">
        <v>517</v>
      </c>
      <c r="C6" t="s">
        <v>24</v>
      </c>
      <c r="D6" t="s">
        <v>518</v>
      </c>
      <c r="E6" t="s">
        <v>26</v>
      </c>
      <c r="F6" t="s">
        <v>511</v>
      </c>
      <c r="G6" s="3" t="s">
        <v>519</v>
      </c>
      <c r="H6" s="3" t="s">
        <v>520</v>
      </c>
      <c r="I6" s="3" t="s">
        <v>521</v>
      </c>
      <c r="J6" s="11">
        <v>5.4</v>
      </c>
      <c r="K6" s="3" t="s">
        <v>522</v>
      </c>
      <c r="L6" s="4">
        <v>25</v>
      </c>
      <c r="M6" s="11">
        <v>14.9</v>
      </c>
      <c r="N6" s="11">
        <v>8.5</v>
      </c>
      <c r="O6" s="11">
        <v>35.6</v>
      </c>
      <c r="P6" s="11">
        <v>2.9</v>
      </c>
      <c r="Q6" s="11">
        <v>10.3</v>
      </c>
      <c r="R6" s="5">
        <v>45972.42015046296</v>
      </c>
      <c r="S6" s="5">
        <v>45972.420393518521</v>
      </c>
      <c r="T6" s="6">
        <v>2.430555468890816E-4</v>
      </c>
    </row>
    <row r="7" spans="1:20" hidden="1" x14ac:dyDescent="0.3">
      <c r="A7" s="2">
        <v>359</v>
      </c>
      <c r="B7" t="s">
        <v>523</v>
      </c>
      <c r="C7" t="s">
        <v>24</v>
      </c>
      <c r="D7" t="s">
        <v>524</v>
      </c>
      <c r="E7" t="s">
        <v>26</v>
      </c>
      <c r="F7" t="s">
        <v>511</v>
      </c>
      <c r="G7" s="11">
        <v>13.6</v>
      </c>
      <c r="H7" s="11">
        <v>45.5</v>
      </c>
      <c r="I7" s="11">
        <v>1.4</v>
      </c>
      <c r="J7" s="11">
        <v>4.9000000000000004</v>
      </c>
      <c r="K7" s="7">
        <v>5.6</v>
      </c>
      <c r="L7" s="4">
        <v>25</v>
      </c>
      <c r="M7" s="11">
        <v>16.5</v>
      </c>
      <c r="N7" s="11">
        <v>6.1</v>
      </c>
      <c r="O7" s="11">
        <v>36</v>
      </c>
      <c r="P7" s="11">
        <v>1.9</v>
      </c>
      <c r="Q7" s="11">
        <v>6.6</v>
      </c>
      <c r="R7" s="5">
        <v>45972.443576388891</v>
      </c>
      <c r="S7" s="5">
        <v>45972.443738425929</v>
      </c>
      <c r="T7" s="6">
        <v>1.6203703125938773E-4</v>
      </c>
    </row>
    <row r="8" spans="1:20" hidden="1" x14ac:dyDescent="0.3">
      <c r="A8" s="2">
        <v>360</v>
      </c>
      <c r="B8" t="s">
        <v>525</v>
      </c>
      <c r="C8" t="s">
        <v>24</v>
      </c>
      <c r="D8" t="s">
        <v>516</v>
      </c>
      <c r="E8" t="s">
        <v>26</v>
      </c>
      <c r="F8" t="s">
        <v>511</v>
      </c>
      <c r="G8" s="11">
        <v>13.7</v>
      </c>
      <c r="H8" s="11">
        <v>45.3</v>
      </c>
      <c r="I8" s="11">
        <v>1.3</v>
      </c>
      <c r="J8" s="11">
        <v>5.0999999999999996</v>
      </c>
      <c r="K8" s="7">
        <v>5.64</v>
      </c>
      <c r="L8" s="4">
        <v>25</v>
      </c>
      <c r="M8" s="11">
        <v>15.5</v>
      </c>
      <c r="N8" s="11">
        <v>5.3</v>
      </c>
      <c r="O8" s="11">
        <v>36.5</v>
      </c>
      <c r="P8" s="11">
        <v>2.2999999999999998</v>
      </c>
      <c r="Q8" s="11">
        <v>6</v>
      </c>
      <c r="R8" s="5">
        <v>45972.444004629629</v>
      </c>
      <c r="S8" s="5">
        <v>45972.444166666668</v>
      </c>
      <c r="T8" s="6">
        <v>1.6203703125938773E-4</v>
      </c>
    </row>
    <row r="9" spans="1:20" hidden="1" x14ac:dyDescent="0.3">
      <c r="A9" s="2">
        <v>361</v>
      </c>
      <c r="B9" t="s">
        <v>526</v>
      </c>
      <c r="C9" t="s">
        <v>24</v>
      </c>
      <c r="D9" t="s">
        <v>518</v>
      </c>
      <c r="E9" t="s">
        <v>26</v>
      </c>
      <c r="F9" t="s">
        <v>511</v>
      </c>
      <c r="G9" s="11">
        <v>13.7</v>
      </c>
      <c r="H9" s="11">
        <v>45.5</v>
      </c>
      <c r="I9" s="11">
        <v>1.5</v>
      </c>
      <c r="J9" s="11">
        <v>5.0999999999999996</v>
      </c>
      <c r="K9" s="7">
        <v>5.67</v>
      </c>
      <c r="L9" s="4">
        <v>25</v>
      </c>
      <c r="M9" s="11">
        <v>18.5</v>
      </c>
      <c r="N9" s="11">
        <v>7.6</v>
      </c>
      <c r="O9" s="11">
        <v>37.9</v>
      </c>
      <c r="P9" s="11">
        <v>3.6</v>
      </c>
      <c r="Q9" s="11">
        <v>7.7</v>
      </c>
      <c r="R9" s="5">
        <v>45972.44431712963</v>
      </c>
      <c r="S9" s="5">
        <v>45972.444467592592</v>
      </c>
      <c r="T9" s="6">
        <v>1.6203703125938773E-4</v>
      </c>
    </row>
    <row r="10" spans="1:20" hidden="1" x14ac:dyDescent="0.3">
      <c r="A10" s="2">
        <v>362</v>
      </c>
      <c r="B10" t="s">
        <v>527</v>
      </c>
      <c r="C10" t="s">
        <v>137</v>
      </c>
      <c r="D10" t="s">
        <v>524</v>
      </c>
      <c r="E10" t="s">
        <v>26</v>
      </c>
      <c r="F10" t="s">
        <v>511</v>
      </c>
      <c r="G10" s="11">
        <v>14.7</v>
      </c>
      <c r="H10" s="11">
        <v>50.2</v>
      </c>
      <c r="I10" s="11">
        <v>2.1</v>
      </c>
      <c r="J10" s="11">
        <v>6.1</v>
      </c>
      <c r="K10" s="7">
        <v>5.61</v>
      </c>
      <c r="L10" s="4">
        <v>25</v>
      </c>
      <c r="M10" s="11">
        <v>44.7</v>
      </c>
      <c r="N10" s="11">
        <v>26.8</v>
      </c>
      <c r="O10" s="11">
        <v>46.1</v>
      </c>
      <c r="P10" s="11">
        <v>15.5</v>
      </c>
      <c r="Q10" s="11">
        <v>55.1</v>
      </c>
      <c r="R10" s="5">
        <v>45972.552384259259</v>
      </c>
      <c r="S10" s="5">
        <v>45972.552523148152</v>
      </c>
      <c r="T10" s="6">
        <v>1.3888889225199819E-4</v>
      </c>
    </row>
    <row r="11" spans="1:20" hidden="1" x14ac:dyDescent="0.3">
      <c r="A11" s="2">
        <v>363</v>
      </c>
      <c r="B11" t="s">
        <v>528</v>
      </c>
      <c r="C11" t="s">
        <v>137</v>
      </c>
      <c r="D11" t="s">
        <v>516</v>
      </c>
      <c r="E11" t="s">
        <v>26</v>
      </c>
      <c r="F11" t="s">
        <v>511</v>
      </c>
      <c r="G11" s="11">
        <v>14.5</v>
      </c>
      <c r="H11" s="11">
        <v>49.9</v>
      </c>
      <c r="I11" s="11">
        <v>2.2000000000000002</v>
      </c>
      <c r="J11" s="11">
        <v>6.1</v>
      </c>
      <c r="K11" s="7">
        <v>5.57</v>
      </c>
      <c r="L11" s="4">
        <v>25</v>
      </c>
      <c r="M11" s="11">
        <v>43.6</v>
      </c>
      <c r="N11" s="11">
        <v>25</v>
      </c>
      <c r="O11" s="11">
        <v>41.8</v>
      </c>
      <c r="P11" s="11">
        <v>14.5</v>
      </c>
      <c r="Q11" s="11">
        <v>53.4</v>
      </c>
      <c r="R11" s="5">
        <v>45972.553101851852</v>
      </c>
      <c r="S11" s="5">
        <v>45972.553240740737</v>
      </c>
      <c r="T11" s="6">
        <v>1.5046296175569296E-4</v>
      </c>
    </row>
    <row r="12" spans="1:20" hidden="1" x14ac:dyDescent="0.3">
      <c r="A12" s="2">
        <v>364</v>
      </c>
      <c r="B12" t="s">
        <v>529</v>
      </c>
      <c r="C12" t="s">
        <v>137</v>
      </c>
      <c r="D12" t="s">
        <v>518</v>
      </c>
      <c r="E12" t="s">
        <v>26</v>
      </c>
      <c r="F12" t="s">
        <v>511</v>
      </c>
      <c r="G12" s="11">
        <v>14.8</v>
      </c>
      <c r="H12" s="11">
        <v>50.2</v>
      </c>
      <c r="I12" s="11">
        <v>2.2999999999999998</v>
      </c>
      <c r="J12" s="11">
        <v>6.1</v>
      </c>
      <c r="K12" s="7">
        <v>5.52</v>
      </c>
      <c r="L12" s="4">
        <v>25</v>
      </c>
      <c r="M12" s="11">
        <v>43.5</v>
      </c>
      <c r="N12" s="11">
        <v>26.9</v>
      </c>
      <c r="O12" s="11">
        <v>44.2</v>
      </c>
      <c r="P12" s="11">
        <v>15</v>
      </c>
      <c r="Q12" s="11">
        <v>53.7</v>
      </c>
      <c r="R12" s="5">
        <v>45972.553379629629</v>
      </c>
      <c r="S12" s="5">
        <v>45972.553506944445</v>
      </c>
      <c r="T12" s="6">
        <v>1.2731482274830341E-4</v>
      </c>
    </row>
    <row r="13" spans="1:20" hidden="1" x14ac:dyDescent="0.3">
      <c r="A13" s="2">
        <v>365</v>
      </c>
      <c r="B13" t="s">
        <v>530</v>
      </c>
      <c r="C13" t="s">
        <v>137</v>
      </c>
      <c r="D13" t="s">
        <v>317</v>
      </c>
      <c r="E13" t="s">
        <v>26</v>
      </c>
      <c r="F13" t="s">
        <v>511</v>
      </c>
      <c r="G13" s="11">
        <v>2.5</v>
      </c>
      <c r="H13" s="11">
        <v>7</v>
      </c>
      <c r="I13" s="11">
        <v>29</v>
      </c>
      <c r="J13" s="11">
        <v>35.799999999999997</v>
      </c>
      <c r="K13" s="3" t="s">
        <v>252</v>
      </c>
      <c r="L13" s="4">
        <v>25</v>
      </c>
      <c r="M13" s="3" t="s">
        <v>253</v>
      </c>
      <c r="N13" s="3" t="s">
        <v>321</v>
      </c>
      <c r="O13" s="3" t="s">
        <v>321</v>
      </c>
      <c r="P13" s="3" t="s">
        <v>321</v>
      </c>
      <c r="Q13" s="3" t="s">
        <v>321</v>
      </c>
      <c r="R13" s="5">
        <v>45972.565474537034</v>
      </c>
      <c r="S13" s="5">
        <v>45972.565821759257</v>
      </c>
      <c r="T13" s="6">
        <v>3.4722223062999547E-4</v>
      </c>
    </row>
    <row r="14" spans="1:20" hidden="1" x14ac:dyDescent="0.3">
      <c r="A14" s="2">
        <v>366</v>
      </c>
      <c r="B14" t="s">
        <v>531</v>
      </c>
      <c r="C14" t="s">
        <v>137</v>
      </c>
      <c r="D14" t="s">
        <v>524</v>
      </c>
      <c r="E14" t="s">
        <v>26</v>
      </c>
      <c r="F14" t="s">
        <v>511</v>
      </c>
      <c r="G14" s="11">
        <v>14.7</v>
      </c>
      <c r="H14" s="11">
        <v>49.8</v>
      </c>
      <c r="I14" s="11">
        <v>2</v>
      </c>
      <c r="J14" s="11">
        <v>5.6</v>
      </c>
      <c r="K14" s="7">
        <v>6.17</v>
      </c>
      <c r="L14" s="4">
        <v>25</v>
      </c>
      <c r="M14" s="11">
        <v>39.799999999999997</v>
      </c>
      <c r="N14" s="11">
        <v>17.8</v>
      </c>
      <c r="O14" s="11">
        <v>39.1</v>
      </c>
      <c r="P14" s="11">
        <v>15.5</v>
      </c>
      <c r="Q14" s="11">
        <v>49.8</v>
      </c>
      <c r="R14" s="5">
        <v>45972.57984953704</v>
      </c>
      <c r="S14" s="5">
        <v>45972.579976851855</v>
      </c>
      <c r="T14" s="6">
        <v>1.3888889225199819E-4</v>
      </c>
    </row>
    <row r="15" spans="1:20" hidden="1" x14ac:dyDescent="0.3">
      <c r="A15" s="2">
        <v>367</v>
      </c>
      <c r="B15" t="s">
        <v>532</v>
      </c>
      <c r="C15" t="s">
        <v>137</v>
      </c>
      <c r="D15" t="s">
        <v>516</v>
      </c>
      <c r="E15" t="s">
        <v>26</v>
      </c>
      <c r="F15" t="s">
        <v>511</v>
      </c>
      <c r="G15" s="11">
        <v>14.7</v>
      </c>
      <c r="H15" s="11">
        <v>49.7</v>
      </c>
      <c r="I15" s="11">
        <v>2.2999999999999998</v>
      </c>
      <c r="J15" s="11">
        <v>5.6</v>
      </c>
      <c r="K15" s="7">
        <v>6.1</v>
      </c>
      <c r="L15" s="4">
        <v>25</v>
      </c>
      <c r="M15" s="11">
        <v>42.3</v>
      </c>
      <c r="N15" s="11">
        <v>18.2</v>
      </c>
      <c r="O15" s="11">
        <v>40.700000000000003</v>
      </c>
      <c r="P15" s="11">
        <v>17.7</v>
      </c>
      <c r="Q15" s="11">
        <v>51.8</v>
      </c>
      <c r="R15" s="5">
        <v>45972.580138888887</v>
      </c>
      <c r="S15" s="5">
        <v>45972.580312500002</v>
      </c>
      <c r="T15" s="6">
        <v>1.736111007630825E-4</v>
      </c>
    </row>
    <row r="16" spans="1:20" hidden="1" x14ac:dyDescent="0.3">
      <c r="A16" s="2">
        <v>368</v>
      </c>
      <c r="B16" t="s">
        <v>533</v>
      </c>
      <c r="C16" t="s">
        <v>137</v>
      </c>
      <c r="D16" t="s">
        <v>518</v>
      </c>
      <c r="E16" t="s">
        <v>26</v>
      </c>
      <c r="F16" t="s">
        <v>511</v>
      </c>
      <c r="G16" s="11">
        <v>14.9</v>
      </c>
      <c r="H16" s="11">
        <v>50</v>
      </c>
      <c r="I16" s="11">
        <v>2</v>
      </c>
      <c r="J16" s="11">
        <v>5.7</v>
      </c>
      <c r="K16" s="7">
        <v>6.02</v>
      </c>
      <c r="L16" s="4">
        <v>25</v>
      </c>
      <c r="M16" s="11">
        <v>43.4</v>
      </c>
      <c r="N16" s="11">
        <v>20.2</v>
      </c>
      <c r="O16" s="11">
        <v>43.2</v>
      </c>
      <c r="P16" s="11">
        <v>18.7</v>
      </c>
      <c r="Q16" s="11">
        <v>53.9</v>
      </c>
      <c r="R16" s="5">
        <v>45972.580462962964</v>
      </c>
      <c r="S16" s="5">
        <v>45972.580590277779</v>
      </c>
      <c r="T16" s="6">
        <v>1.2731482274830341E-4</v>
      </c>
    </row>
    <row r="17" spans="1:20" hidden="1" x14ac:dyDescent="0.3">
      <c r="A17" s="2">
        <v>369</v>
      </c>
      <c r="B17" t="s">
        <v>534</v>
      </c>
      <c r="C17" t="s">
        <v>24</v>
      </c>
      <c r="D17" t="s">
        <v>524</v>
      </c>
      <c r="E17" t="s">
        <v>26</v>
      </c>
      <c r="F17" t="s">
        <v>511</v>
      </c>
      <c r="G17" s="11">
        <v>13.5</v>
      </c>
      <c r="H17" s="11">
        <v>45.6</v>
      </c>
      <c r="I17" s="11">
        <v>1.5</v>
      </c>
      <c r="J17" s="11">
        <v>5.2</v>
      </c>
      <c r="K17" s="7">
        <v>5.58</v>
      </c>
      <c r="L17" s="4">
        <v>25</v>
      </c>
      <c r="M17" s="11">
        <v>21</v>
      </c>
      <c r="N17" s="11">
        <v>8.9</v>
      </c>
      <c r="O17" s="11">
        <v>44.5</v>
      </c>
      <c r="P17" s="11">
        <v>3.1</v>
      </c>
      <c r="Q17" s="11">
        <v>8</v>
      </c>
      <c r="R17" s="5">
        <v>45972.606793981482</v>
      </c>
      <c r="S17" s="5">
        <v>45972.606909722221</v>
      </c>
      <c r="T17" s="6">
        <v>1.1574075324460864E-4</v>
      </c>
    </row>
    <row r="18" spans="1:20" hidden="1" x14ac:dyDescent="0.3">
      <c r="A18" s="2">
        <v>370</v>
      </c>
      <c r="B18" t="s">
        <v>535</v>
      </c>
      <c r="C18" t="s">
        <v>24</v>
      </c>
      <c r="D18" t="s">
        <v>516</v>
      </c>
      <c r="E18" t="s">
        <v>26</v>
      </c>
      <c r="F18" t="s">
        <v>511</v>
      </c>
      <c r="G18" s="11">
        <v>13.5</v>
      </c>
      <c r="H18" s="11">
        <v>45.2</v>
      </c>
      <c r="I18" s="11">
        <v>1.4</v>
      </c>
      <c r="J18" s="11">
        <v>5.2</v>
      </c>
      <c r="K18" s="7">
        <v>5.64</v>
      </c>
      <c r="L18" s="4">
        <v>25</v>
      </c>
      <c r="M18" s="11">
        <v>18</v>
      </c>
      <c r="N18" s="11">
        <v>6.8</v>
      </c>
      <c r="O18" s="11">
        <v>43.6</v>
      </c>
      <c r="P18" s="11">
        <v>2.5</v>
      </c>
      <c r="Q18" s="11">
        <v>7</v>
      </c>
      <c r="R18" s="5">
        <v>45972.607060185182</v>
      </c>
      <c r="S18" s="5">
        <v>45972.607175925928</v>
      </c>
      <c r="T18" s="6">
        <v>1.1574075324460864E-4</v>
      </c>
    </row>
    <row r="19" spans="1:20" hidden="1" x14ac:dyDescent="0.3">
      <c r="A19" s="2">
        <v>371</v>
      </c>
      <c r="B19" t="s">
        <v>536</v>
      </c>
      <c r="C19" t="s">
        <v>24</v>
      </c>
      <c r="D19" t="s">
        <v>518</v>
      </c>
      <c r="E19" t="s">
        <v>26</v>
      </c>
      <c r="F19" t="s">
        <v>511</v>
      </c>
      <c r="G19" s="11">
        <v>13.6</v>
      </c>
      <c r="H19" s="11">
        <v>45.9</v>
      </c>
      <c r="I19" s="11">
        <v>1.4</v>
      </c>
      <c r="J19" s="11">
        <v>5.2</v>
      </c>
      <c r="K19" s="7">
        <v>5.58</v>
      </c>
      <c r="L19" s="4">
        <v>25</v>
      </c>
      <c r="M19" s="11">
        <v>20.6</v>
      </c>
      <c r="N19" s="11">
        <v>8.9</v>
      </c>
      <c r="O19" s="11">
        <v>48.2</v>
      </c>
      <c r="P19" s="11">
        <v>3.3</v>
      </c>
      <c r="Q19" s="11">
        <v>7.6</v>
      </c>
      <c r="R19" s="5">
        <v>45972.60728009259</v>
      </c>
      <c r="S19" s="5">
        <v>45972.607407407406</v>
      </c>
      <c r="T19" s="6">
        <v>1.1574075324460864E-4</v>
      </c>
    </row>
    <row r="20" spans="1:20" hidden="1" x14ac:dyDescent="0.3">
      <c r="A20" s="2">
        <v>372</v>
      </c>
      <c r="B20" t="s">
        <v>537</v>
      </c>
      <c r="C20" t="s">
        <v>24</v>
      </c>
      <c r="D20" t="s">
        <v>514</v>
      </c>
      <c r="E20" t="s">
        <v>26</v>
      </c>
      <c r="F20" t="s">
        <v>511</v>
      </c>
      <c r="G20" s="11">
        <v>12.8</v>
      </c>
      <c r="H20" s="11">
        <v>46.2</v>
      </c>
      <c r="I20" s="11">
        <v>1.2</v>
      </c>
      <c r="J20" s="11">
        <v>5.3</v>
      </c>
      <c r="K20" s="7">
        <v>4.72</v>
      </c>
      <c r="L20" s="4">
        <v>25</v>
      </c>
      <c r="M20" s="11">
        <v>16.8</v>
      </c>
      <c r="N20" s="11">
        <v>11.5</v>
      </c>
      <c r="O20" s="11">
        <v>38.299999999999997</v>
      </c>
      <c r="P20" s="11">
        <v>5.8</v>
      </c>
      <c r="Q20" s="11">
        <v>15.9</v>
      </c>
      <c r="R20" s="5">
        <v>45972.681759259256</v>
      </c>
      <c r="S20" s="5">
        <v>45972.681921296295</v>
      </c>
      <c r="T20" s="6">
        <v>1.6203703125938773E-4</v>
      </c>
    </row>
    <row r="21" spans="1:20" hidden="1" x14ac:dyDescent="0.3">
      <c r="A21" s="2">
        <v>373</v>
      </c>
      <c r="B21" t="s">
        <v>538</v>
      </c>
      <c r="C21" t="s">
        <v>24</v>
      </c>
      <c r="D21" t="s">
        <v>514</v>
      </c>
      <c r="E21" t="s">
        <v>26</v>
      </c>
      <c r="F21" t="s">
        <v>511</v>
      </c>
      <c r="G21" s="11">
        <v>12.9</v>
      </c>
      <c r="H21" s="11">
        <v>46</v>
      </c>
      <c r="I21" s="11">
        <v>1.3</v>
      </c>
      <c r="J21" s="11">
        <v>5.6</v>
      </c>
      <c r="K21" s="7">
        <v>4.7</v>
      </c>
      <c r="L21" s="4">
        <v>25</v>
      </c>
      <c r="M21" s="11">
        <v>17.7</v>
      </c>
      <c r="N21" s="11">
        <v>12.1</v>
      </c>
      <c r="O21" s="11">
        <v>37.9</v>
      </c>
      <c r="P21" s="11">
        <v>7.4</v>
      </c>
      <c r="Q21" s="11">
        <v>16.899999999999999</v>
      </c>
      <c r="R21" s="5">
        <v>45972.682037037041</v>
      </c>
      <c r="S21" s="5">
        <v>45972.682199074072</v>
      </c>
      <c r="T21" s="6">
        <v>1.6203703125938773E-4</v>
      </c>
    </row>
    <row r="22" spans="1:20" hidden="1" x14ac:dyDescent="0.3">
      <c r="A22" s="2">
        <v>374</v>
      </c>
      <c r="B22" t="s">
        <v>539</v>
      </c>
      <c r="C22" t="s">
        <v>24</v>
      </c>
      <c r="D22" t="s">
        <v>514</v>
      </c>
      <c r="E22" t="s">
        <v>26</v>
      </c>
      <c r="F22" t="s">
        <v>511</v>
      </c>
      <c r="G22" s="11">
        <v>13.1</v>
      </c>
      <c r="H22" s="11">
        <v>45.4</v>
      </c>
      <c r="I22" s="11">
        <v>1</v>
      </c>
      <c r="J22" s="11">
        <v>4.9000000000000004</v>
      </c>
      <c r="K22" s="7">
        <v>5</v>
      </c>
      <c r="L22" s="4">
        <v>25</v>
      </c>
      <c r="M22" s="11">
        <v>16.2</v>
      </c>
      <c r="N22" s="11">
        <v>6.9</v>
      </c>
      <c r="O22" s="11">
        <v>36.700000000000003</v>
      </c>
      <c r="P22" s="11">
        <v>5.8</v>
      </c>
      <c r="Q22" s="11">
        <v>10.7</v>
      </c>
      <c r="R22" s="5">
        <v>45972.687083333331</v>
      </c>
      <c r="S22" s="5">
        <v>45972.687245370369</v>
      </c>
      <c r="T22" s="6">
        <v>1.6203703125938773E-4</v>
      </c>
    </row>
    <row r="23" spans="1:20" hidden="1" x14ac:dyDescent="0.3">
      <c r="A23" s="2">
        <v>375</v>
      </c>
      <c r="B23" t="s">
        <v>540</v>
      </c>
      <c r="C23" t="s">
        <v>24</v>
      </c>
      <c r="D23" t="s">
        <v>514</v>
      </c>
      <c r="E23" t="s">
        <v>26</v>
      </c>
      <c r="F23" t="s">
        <v>511</v>
      </c>
      <c r="G23" s="11">
        <v>13.1</v>
      </c>
      <c r="H23" s="11">
        <v>45.4</v>
      </c>
      <c r="I23" s="11">
        <v>1.2</v>
      </c>
      <c r="J23" s="11">
        <v>5</v>
      </c>
      <c r="K23" s="7">
        <v>5.04</v>
      </c>
      <c r="L23" s="4">
        <v>25</v>
      </c>
      <c r="M23" s="11">
        <v>18.7</v>
      </c>
      <c r="N23" s="11">
        <v>8.6999999999999993</v>
      </c>
      <c r="O23" s="11">
        <v>38.200000000000003</v>
      </c>
      <c r="P23" s="11">
        <v>8.1</v>
      </c>
      <c r="Q23" s="11">
        <v>12.6</v>
      </c>
      <c r="R23" s="5">
        <v>45972.687337962961</v>
      </c>
      <c r="S23" s="5">
        <v>45972.6874537037</v>
      </c>
      <c r="T23" s="6">
        <v>1.1574075324460864E-4</v>
      </c>
    </row>
    <row r="24" spans="1:20" hidden="1" x14ac:dyDescent="0.3">
      <c r="A24" s="2">
        <v>376</v>
      </c>
      <c r="B24" t="s">
        <v>541</v>
      </c>
      <c r="C24" t="s">
        <v>24</v>
      </c>
      <c r="D24" t="s">
        <v>514</v>
      </c>
      <c r="E24" t="s">
        <v>26</v>
      </c>
      <c r="F24" t="s">
        <v>511</v>
      </c>
      <c r="G24" s="11">
        <v>13.1</v>
      </c>
      <c r="H24" s="11">
        <v>45.5</v>
      </c>
      <c r="I24" s="11">
        <v>1.3</v>
      </c>
      <c r="J24" s="11">
        <v>4.9000000000000004</v>
      </c>
      <c r="K24" s="7">
        <v>5.58</v>
      </c>
      <c r="L24" s="4">
        <v>25</v>
      </c>
      <c r="M24" s="11">
        <v>16.3</v>
      </c>
      <c r="N24" s="11">
        <v>6.1</v>
      </c>
      <c r="O24" s="11">
        <v>36.1</v>
      </c>
      <c r="P24" s="11">
        <v>2.5</v>
      </c>
      <c r="Q24" s="11">
        <v>6.4</v>
      </c>
      <c r="R24" s="5">
        <v>45973.387650462966</v>
      </c>
      <c r="S24" s="5">
        <v>45973.387824074074</v>
      </c>
      <c r="T24" s="6">
        <v>1.736111007630825E-4</v>
      </c>
    </row>
    <row r="25" spans="1:20" hidden="1" x14ac:dyDescent="0.3">
      <c r="A25" s="2">
        <v>377</v>
      </c>
      <c r="B25" t="s">
        <v>542</v>
      </c>
      <c r="C25" t="s">
        <v>24</v>
      </c>
      <c r="D25" t="s">
        <v>514</v>
      </c>
      <c r="E25" t="s">
        <v>26</v>
      </c>
      <c r="F25" t="s">
        <v>511</v>
      </c>
      <c r="G25" s="11">
        <v>13.3</v>
      </c>
      <c r="H25" s="11">
        <v>45.9</v>
      </c>
      <c r="I25" s="11">
        <v>1.3</v>
      </c>
      <c r="J25" s="11">
        <v>5</v>
      </c>
      <c r="K25" s="7">
        <v>5.55</v>
      </c>
      <c r="L25" s="4">
        <v>25</v>
      </c>
      <c r="M25" s="11">
        <v>18.899999999999999</v>
      </c>
      <c r="N25" s="11">
        <v>8.5</v>
      </c>
      <c r="O25" s="11">
        <v>42.5</v>
      </c>
      <c r="P25" s="11">
        <v>4.5</v>
      </c>
      <c r="Q25" s="11">
        <v>7.5</v>
      </c>
      <c r="R25" s="5">
        <v>45973.38795138889</v>
      </c>
      <c r="S25" s="5">
        <v>45973.388124999998</v>
      </c>
      <c r="T25" s="6">
        <v>1.736111007630825E-4</v>
      </c>
    </row>
    <row r="26" spans="1:20" hidden="1" x14ac:dyDescent="0.3">
      <c r="A26" s="2">
        <v>378</v>
      </c>
      <c r="B26" t="s">
        <v>543</v>
      </c>
      <c r="C26" t="s">
        <v>24</v>
      </c>
      <c r="D26" t="s">
        <v>514</v>
      </c>
      <c r="E26" t="s">
        <v>286</v>
      </c>
      <c r="F26" t="s">
        <v>511</v>
      </c>
      <c r="G26" s="11">
        <v>13.3</v>
      </c>
      <c r="H26" s="11">
        <v>45.3</v>
      </c>
      <c r="I26" s="11">
        <v>1.4</v>
      </c>
      <c r="J26" s="11">
        <v>5.2</v>
      </c>
      <c r="K26" s="7">
        <v>5.57</v>
      </c>
      <c r="L26" s="4">
        <v>25</v>
      </c>
      <c r="M26" s="11">
        <v>18.5</v>
      </c>
      <c r="N26" s="11">
        <v>7.1</v>
      </c>
      <c r="O26" s="11">
        <v>40.299999999999997</v>
      </c>
      <c r="P26" s="11">
        <v>3.4</v>
      </c>
      <c r="Q26" s="11">
        <v>7.6</v>
      </c>
      <c r="R26" s="5">
        <v>45973.404594907406</v>
      </c>
      <c r="S26" s="5">
        <v>45973.404733796298</v>
      </c>
      <c r="T26" s="6">
        <v>1.2731482274830341E-4</v>
      </c>
    </row>
    <row r="27" spans="1:20" hidden="1" x14ac:dyDescent="0.3">
      <c r="A27" s="2">
        <v>379</v>
      </c>
      <c r="B27" t="s">
        <v>544</v>
      </c>
      <c r="C27" t="s">
        <v>24</v>
      </c>
      <c r="D27" t="s">
        <v>514</v>
      </c>
      <c r="E27" t="s">
        <v>286</v>
      </c>
      <c r="F27" t="s">
        <v>511</v>
      </c>
      <c r="G27" s="11">
        <v>13.5</v>
      </c>
      <c r="H27" s="11">
        <v>45.2</v>
      </c>
      <c r="I27" s="11">
        <v>1.4</v>
      </c>
      <c r="J27" s="11">
        <v>5.0999999999999996</v>
      </c>
      <c r="K27" s="7">
        <v>5.6</v>
      </c>
      <c r="L27" s="4">
        <v>25</v>
      </c>
      <c r="M27" s="11">
        <v>17.899999999999999</v>
      </c>
      <c r="N27" s="11">
        <v>6.2</v>
      </c>
      <c r="O27" s="11">
        <v>36.299999999999997</v>
      </c>
      <c r="P27" s="11">
        <v>3.6</v>
      </c>
      <c r="Q27" s="11">
        <v>7.3</v>
      </c>
      <c r="R27" s="5">
        <v>45973.404826388891</v>
      </c>
      <c r="S27" s="5">
        <v>45973.404953703706</v>
      </c>
      <c r="T27" s="6">
        <v>1.3888889225199819E-4</v>
      </c>
    </row>
    <row r="28" spans="1:20" hidden="1" x14ac:dyDescent="0.3">
      <c r="A28" s="2">
        <v>380</v>
      </c>
      <c r="B28" t="s">
        <v>545</v>
      </c>
      <c r="C28" t="s">
        <v>24</v>
      </c>
      <c r="D28" t="s">
        <v>514</v>
      </c>
      <c r="E28" t="s">
        <v>26</v>
      </c>
      <c r="F28" t="s">
        <v>511</v>
      </c>
      <c r="G28" s="11">
        <v>13</v>
      </c>
      <c r="H28" s="11">
        <v>46</v>
      </c>
      <c r="I28" s="11">
        <v>1.4</v>
      </c>
      <c r="J28" s="11">
        <v>5.4</v>
      </c>
      <c r="K28" s="7">
        <v>5.04</v>
      </c>
      <c r="L28" s="4">
        <v>25</v>
      </c>
      <c r="M28" s="11">
        <v>16.5</v>
      </c>
      <c r="N28" s="11">
        <v>10.5</v>
      </c>
      <c r="O28" s="11">
        <v>40.299999999999997</v>
      </c>
      <c r="P28" s="11">
        <v>4.0999999999999996</v>
      </c>
      <c r="Q28" s="11">
        <v>11.5</v>
      </c>
      <c r="R28" s="5">
        <v>45973.422210648147</v>
      </c>
      <c r="S28" s="5">
        <v>45973.422418981485</v>
      </c>
      <c r="T28" s="6">
        <v>2.0833333837799728E-4</v>
      </c>
    </row>
    <row r="29" spans="1:20" hidden="1" x14ac:dyDescent="0.3">
      <c r="A29" s="2">
        <v>381</v>
      </c>
      <c r="B29" t="s">
        <v>546</v>
      </c>
      <c r="C29" t="s">
        <v>24</v>
      </c>
      <c r="D29" t="s">
        <v>514</v>
      </c>
      <c r="E29" t="s">
        <v>26</v>
      </c>
      <c r="F29" t="s">
        <v>511</v>
      </c>
      <c r="G29" s="11">
        <v>12.9</v>
      </c>
      <c r="H29" s="11">
        <v>46</v>
      </c>
      <c r="I29" s="11">
        <v>1.5</v>
      </c>
      <c r="J29" s="11">
        <v>5.5</v>
      </c>
      <c r="K29" s="7">
        <v>5.05</v>
      </c>
      <c r="L29" s="4">
        <v>25</v>
      </c>
      <c r="M29" s="11">
        <v>19</v>
      </c>
      <c r="N29" s="11">
        <v>12.7</v>
      </c>
      <c r="O29" s="11">
        <v>44.8</v>
      </c>
      <c r="P29" s="11">
        <v>6.2</v>
      </c>
      <c r="Q29" s="11">
        <v>13.9</v>
      </c>
      <c r="R29" s="5">
        <v>45973.422534722224</v>
      </c>
      <c r="S29" s="5">
        <v>45973.422662037039</v>
      </c>
      <c r="T29" s="6">
        <v>1.2731482274830341E-4</v>
      </c>
    </row>
    <row r="30" spans="1:20" hidden="1" x14ac:dyDescent="0.3">
      <c r="A30" s="2">
        <v>382</v>
      </c>
      <c r="B30" t="s">
        <v>547</v>
      </c>
      <c r="C30" t="s">
        <v>24</v>
      </c>
      <c r="D30" t="s">
        <v>514</v>
      </c>
      <c r="E30" t="s">
        <v>26</v>
      </c>
      <c r="F30" t="s">
        <v>511</v>
      </c>
      <c r="G30" s="11">
        <v>13.2</v>
      </c>
      <c r="H30" s="11">
        <v>46.4</v>
      </c>
      <c r="I30" s="11">
        <v>1.2</v>
      </c>
      <c r="J30" s="11">
        <v>5.6</v>
      </c>
      <c r="K30" s="7">
        <v>5.28</v>
      </c>
      <c r="L30" s="4">
        <v>25</v>
      </c>
      <c r="M30" s="11">
        <v>17.3</v>
      </c>
      <c r="N30" s="11">
        <v>10.8</v>
      </c>
      <c r="O30" s="11">
        <v>36.9</v>
      </c>
      <c r="P30" s="11">
        <v>3.6</v>
      </c>
      <c r="Q30" s="11">
        <v>10.6</v>
      </c>
      <c r="R30" s="5">
        <v>45973.442199074074</v>
      </c>
      <c r="S30" s="5">
        <v>45973.442407407405</v>
      </c>
      <c r="T30" s="6">
        <v>2.0833333837799728E-4</v>
      </c>
    </row>
    <row r="31" spans="1:20" hidden="1" x14ac:dyDescent="0.3">
      <c r="A31" s="2">
        <v>383</v>
      </c>
      <c r="B31" t="s">
        <v>548</v>
      </c>
      <c r="C31" t="s">
        <v>24</v>
      </c>
      <c r="D31" t="s">
        <v>514</v>
      </c>
      <c r="E31" t="s">
        <v>26</v>
      </c>
      <c r="F31" t="s">
        <v>511</v>
      </c>
      <c r="G31" s="11">
        <v>13.2</v>
      </c>
      <c r="H31" s="11">
        <v>46.1</v>
      </c>
      <c r="I31" s="11">
        <v>1.4</v>
      </c>
      <c r="J31" s="11">
        <v>5.6</v>
      </c>
      <c r="K31" s="7">
        <v>5.3</v>
      </c>
      <c r="L31" s="4">
        <v>25</v>
      </c>
      <c r="M31" s="11">
        <v>19.399999999999999</v>
      </c>
      <c r="N31" s="11">
        <v>11.5</v>
      </c>
      <c r="O31" s="11">
        <v>38.799999999999997</v>
      </c>
      <c r="P31" s="11">
        <v>4</v>
      </c>
      <c r="Q31" s="11">
        <v>12.3</v>
      </c>
      <c r="R31" s="5">
        <v>45973.442546296297</v>
      </c>
      <c r="S31" s="5">
        <v>45973.442673611113</v>
      </c>
      <c r="T31" s="6">
        <v>1.3888889225199819E-4</v>
      </c>
    </row>
    <row r="32" spans="1:20" hidden="1" x14ac:dyDescent="0.3">
      <c r="A32" s="2">
        <v>384</v>
      </c>
      <c r="B32" t="s">
        <v>549</v>
      </c>
      <c r="C32" t="s">
        <v>24</v>
      </c>
      <c r="D32" t="s">
        <v>514</v>
      </c>
      <c r="E32" t="s">
        <v>297</v>
      </c>
      <c r="F32" t="s">
        <v>511</v>
      </c>
      <c r="G32" s="11">
        <v>13</v>
      </c>
      <c r="H32" s="11">
        <v>46</v>
      </c>
      <c r="I32" s="11">
        <v>1.5</v>
      </c>
      <c r="J32" s="11">
        <v>5.4</v>
      </c>
      <c r="K32" s="7">
        <v>5.35</v>
      </c>
      <c r="L32" s="4">
        <v>25</v>
      </c>
      <c r="M32" s="11">
        <v>20</v>
      </c>
      <c r="N32" s="11">
        <v>11.1</v>
      </c>
      <c r="O32" s="11">
        <v>40</v>
      </c>
      <c r="P32" s="11">
        <v>2.9</v>
      </c>
      <c r="Q32" s="11">
        <v>10.199999999999999</v>
      </c>
      <c r="R32" s="5">
        <v>45973.458067129628</v>
      </c>
      <c r="S32" s="5">
        <v>45973.458240740743</v>
      </c>
      <c r="T32" s="6">
        <v>1.736111007630825E-4</v>
      </c>
    </row>
    <row r="33" spans="1:20" hidden="1" x14ac:dyDescent="0.3">
      <c r="A33" s="2">
        <v>385</v>
      </c>
      <c r="B33" t="s">
        <v>550</v>
      </c>
      <c r="C33" t="s">
        <v>24</v>
      </c>
      <c r="D33" t="s">
        <v>514</v>
      </c>
      <c r="E33" t="s">
        <v>297</v>
      </c>
      <c r="F33" t="s">
        <v>511</v>
      </c>
      <c r="G33" s="11">
        <v>13</v>
      </c>
      <c r="H33" s="11">
        <v>46.2</v>
      </c>
      <c r="I33" s="11">
        <v>1.6</v>
      </c>
      <c r="J33" s="11">
        <v>5.7</v>
      </c>
      <c r="K33" s="7">
        <v>5.33</v>
      </c>
      <c r="L33" s="4">
        <v>25</v>
      </c>
      <c r="M33" s="11">
        <v>23.4</v>
      </c>
      <c r="N33" s="11">
        <v>14.1</v>
      </c>
      <c r="O33" s="11">
        <v>42.4</v>
      </c>
      <c r="P33" s="11">
        <v>5.0999999999999996</v>
      </c>
      <c r="Q33" s="11">
        <v>12.3</v>
      </c>
      <c r="R33" s="5">
        <v>45973.458321759259</v>
      </c>
      <c r="S33" s="5">
        <v>45973.45853009259</v>
      </c>
      <c r="T33" s="6">
        <v>2.0833333837799728E-4</v>
      </c>
    </row>
    <row r="34" spans="1:20" hidden="1" x14ac:dyDescent="0.3">
      <c r="A34" s="2">
        <v>386</v>
      </c>
      <c r="B34" t="s">
        <v>551</v>
      </c>
      <c r="C34" t="s">
        <v>24</v>
      </c>
      <c r="D34" t="s">
        <v>514</v>
      </c>
      <c r="E34" t="s">
        <v>457</v>
      </c>
      <c r="F34" t="s">
        <v>511</v>
      </c>
      <c r="G34" s="11">
        <v>13.1</v>
      </c>
      <c r="H34" s="11">
        <v>45.1</v>
      </c>
      <c r="I34" s="11">
        <v>1.3</v>
      </c>
      <c r="J34" s="11">
        <v>5</v>
      </c>
      <c r="K34" s="7">
        <v>5.56</v>
      </c>
      <c r="L34" s="4">
        <v>25</v>
      </c>
      <c r="M34" s="11">
        <v>15.8</v>
      </c>
      <c r="N34" s="11">
        <v>5.9</v>
      </c>
      <c r="O34" s="11">
        <v>39.9</v>
      </c>
      <c r="P34" s="11">
        <v>3.1</v>
      </c>
      <c r="Q34" s="11">
        <v>6.3</v>
      </c>
      <c r="R34" s="5">
        <v>45973.489629629628</v>
      </c>
      <c r="S34" s="5">
        <v>45973.489814814813</v>
      </c>
      <c r="T34" s="6">
        <v>1.736111007630825E-4</v>
      </c>
    </row>
    <row r="35" spans="1:20" hidden="1" x14ac:dyDescent="0.3">
      <c r="A35" s="2">
        <v>387</v>
      </c>
      <c r="B35" t="s">
        <v>552</v>
      </c>
      <c r="C35" t="s">
        <v>24</v>
      </c>
      <c r="D35" t="s">
        <v>514</v>
      </c>
      <c r="E35" t="s">
        <v>457</v>
      </c>
      <c r="F35" t="s">
        <v>511</v>
      </c>
      <c r="G35" s="11">
        <v>13.2</v>
      </c>
      <c r="H35" s="11">
        <v>45.4</v>
      </c>
      <c r="I35" s="11">
        <v>1.1000000000000001</v>
      </c>
      <c r="J35" s="11">
        <v>5.2</v>
      </c>
      <c r="K35" s="7">
        <v>5.55</v>
      </c>
      <c r="L35" s="4">
        <v>25</v>
      </c>
      <c r="M35" s="11">
        <v>15.3</v>
      </c>
      <c r="N35" s="11">
        <v>6.2</v>
      </c>
      <c r="O35" s="11">
        <v>41.1</v>
      </c>
      <c r="P35" s="11">
        <v>4</v>
      </c>
      <c r="Q35" s="11">
        <v>6.1</v>
      </c>
      <c r="R35" s="5">
        <v>45973.489895833336</v>
      </c>
      <c r="S35" s="5">
        <v>45973.489988425928</v>
      </c>
      <c r="T35" s="6">
        <v>9.2592585133388638E-5</v>
      </c>
    </row>
    <row r="36" spans="1:20" hidden="1" x14ac:dyDescent="0.3">
      <c r="A36" s="2">
        <v>388</v>
      </c>
      <c r="B36" t="s">
        <v>553</v>
      </c>
      <c r="C36" t="s">
        <v>24</v>
      </c>
      <c r="D36" t="s">
        <v>514</v>
      </c>
      <c r="E36" t="s">
        <v>460</v>
      </c>
      <c r="F36" t="s">
        <v>511</v>
      </c>
      <c r="G36" s="11">
        <v>13.2</v>
      </c>
      <c r="H36" s="11">
        <v>45.3</v>
      </c>
      <c r="I36" s="11">
        <v>1.2</v>
      </c>
      <c r="J36" s="11">
        <v>5.0999999999999996</v>
      </c>
      <c r="K36" s="7">
        <v>5.64</v>
      </c>
      <c r="L36" s="4">
        <v>25</v>
      </c>
      <c r="M36" s="11">
        <v>15</v>
      </c>
      <c r="N36" s="11">
        <v>5</v>
      </c>
      <c r="O36" s="11">
        <v>42.3</v>
      </c>
      <c r="P36" s="11">
        <v>3.4</v>
      </c>
      <c r="Q36" s="11">
        <v>5.8</v>
      </c>
      <c r="R36" s="5">
        <v>45973.493379629632</v>
      </c>
      <c r="S36" s="5">
        <v>45973.493634259263</v>
      </c>
      <c r="T36" s="6">
        <v>2.5462961639277637E-4</v>
      </c>
    </row>
    <row r="37" spans="1:20" hidden="1" x14ac:dyDescent="0.3">
      <c r="A37" s="2">
        <v>389</v>
      </c>
      <c r="B37" t="s">
        <v>554</v>
      </c>
      <c r="C37" t="s">
        <v>24</v>
      </c>
      <c r="D37" t="s">
        <v>514</v>
      </c>
      <c r="E37" t="s">
        <v>460</v>
      </c>
      <c r="F37" t="s">
        <v>511</v>
      </c>
      <c r="G37" s="11">
        <v>13.3</v>
      </c>
      <c r="H37" s="11">
        <v>45.2</v>
      </c>
      <c r="I37" s="11">
        <v>1.2</v>
      </c>
      <c r="J37" s="11">
        <v>5</v>
      </c>
      <c r="K37" s="7">
        <v>5.65</v>
      </c>
      <c r="L37" s="4">
        <v>25</v>
      </c>
      <c r="M37" s="11">
        <v>16.3</v>
      </c>
      <c r="N37" s="11">
        <v>5.5</v>
      </c>
      <c r="O37" s="11">
        <v>45.5</v>
      </c>
      <c r="P37" s="11">
        <v>4.4000000000000004</v>
      </c>
      <c r="Q37" s="11">
        <v>7</v>
      </c>
      <c r="R37" s="5">
        <v>45973.493738425925</v>
      </c>
      <c r="S37" s="5">
        <v>45973.493946759256</v>
      </c>
      <c r="T37" s="6">
        <v>2.0833333837799728E-4</v>
      </c>
    </row>
    <row r="38" spans="1:20" hidden="1" x14ac:dyDescent="0.3">
      <c r="A38" s="2">
        <v>390</v>
      </c>
      <c r="B38" t="s">
        <v>555</v>
      </c>
      <c r="C38" t="s">
        <v>24</v>
      </c>
      <c r="D38" t="s">
        <v>514</v>
      </c>
      <c r="E38" t="s">
        <v>348</v>
      </c>
      <c r="F38" t="s">
        <v>511</v>
      </c>
      <c r="G38" s="11">
        <v>12.6</v>
      </c>
      <c r="H38" s="11">
        <v>46.1</v>
      </c>
      <c r="I38" s="11">
        <v>1.4</v>
      </c>
      <c r="J38" s="11">
        <v>5.9</v>
      </c>
      <c r="K38" s="7">
        <v>4.9800000000000004</v>
      </c>
      <c r="L38" s="4">
        <v>25</v>
      </c>
      <c r="M38" s="11">
        <v>20.100000000000001</v>
      </c>
      <c r="N38" s="11">
        <v>14.5</v>
      </c>
      <c r="O38" s="11">
        <v>42.8</v>
      </c>
      <c r="P38" s="11">
        <v>8.6</v>
      </c>
      <c r="Q38" s="11">
        <v>15.9</v>
      </c>
      <c r="R38" s="5">
        <v>45973.498287037037</v>
      </c>
      <c r="S38" s="5">
        <v>45973.498460648145</v>
      </c>
      <c r="T38" s="6">
        <v>1.736111007630825E-4</v>
      </c>
    </row>
    <row r="39" spans="1:20" hidden="1" x14ac:dyDescent="0.3">
      <c r="A39" s="2">
        <v>391</v>
      </c>
      <c r="B39" t="s">
        <v>556</v>
      </c>
      <c r="C39" t="s">
        <v>24</v>
      </c>
      <c r="D39" t="s">
        <v>514</v>
      </c>
      <c r="E39" t="s">
        <v>348</v>
      </c>
      <c r="F39" t="s">
        <v>511</v>
      </c>
      <c r="G39" s="11">
        <v>12.6</v>
      </c>
      <c r="H39" s="11">
        <v>46.1</v>
      </c>
      <c r="I39" s="11">
        <v>1.4</v>
      </c>
      <c r="J39" s="11">
        <v>5.7</v>
      </c>
      <c r="K39" s="7">
        <v>4.95</v>
      </c>
      <c r="L39" s="4">
        <v>25</v>
      </c>
      <c r="M39" s="11">
        <v>18.8</v>
      </c>
      <c r="N39" s="11">
        <v>13.4</v>
      </c>
      <c r="O39" s="11">
        <v>40.4</v>
      </c>
      <c r="P39" s="11">
        <v>8.1999999999999993</v>
      </c>
      <c r="Q39" s="11">
        <v>15.4</v>
      </c>
      <c r="R39" s="5">
        <v>45973.49858796296</v>
      </c>
      <c r="S39" s="5">
        <v>45973.498726851853</v>
      </c>
      <c r="T39" s="6">
        <v>1.3888889225199819E-4</v>
      </c>
    </row>
    <row r="40" spans="1:20" hidden="1" x14ac:dyDescent="0.3">
      <c r="A40" s="2">
        <v>392</v>
      </c>
      <c r="B40" t="s">
        <v>557</v>
      </c>
      <c r="C40" t="s">
        <v>24</v>
      </c>
      <c r="D40" t="s">
        <v>514</v>
      </c>
      <c r="E40" t="s">
        <v>345</v>
      </c>
      <c r="F40" t="s">
        <v>511</v>
      </c>
      <c r="G40" s="11">
        <v>12.7</v>
      </c>
      <c r="H40" s="11">
        <v>46.6</v>
      </c>
      <c r="I40" s="11">
        <v>1.3</v>
      </c>
      <c r="J40" s="11">
        <v>5.6</v>
      </c>
      <c r="K40" s="7">
        <v>5.0199999999999996</v>
      </c>
      <c r="L40" s="4">
        <v>25</v>
      </c>
      <c r="M40" s="11">
        <v>16.7</v>
      </c>
      <c r="N40" s="11">
        <v>11</v>
      </c>
      <c r="O40" s="11">
        <v>38</v>
      </c>
      <c r="P40" s="11">
        <v>5.4</v>
      </c>
      <c r="Q40" s="11">
        <v>12.7</v>
      </c>
      <c r="R40" s="5">
        <v>45973.513391203705</v>
      </c>
      <c r="S40" s="5">
        <v>45973.513564814813</v>
      </c>
      <c r="T40" s="6">
        <v>1.736111007630825E-4</v>
      </c>
    </row>
    <row r="41" spans="1:20" hidden="1" x14ac:dyDescent="0.3">
      <c r="A41" s="2">
        <v>393</v>
      </c>
      <c r="B41" t="s">
        <v>558</v>
      </c>
      <c r="C41" t="s">
        <v>24</v>
      </c>
      <c r="D41" t="s">
        <v>514</v>
      </c>
      <c r="E41" t="s">
        <v>345</v>
      </c>
      <c r="F41" t="s">
        <v>511</v>
      </c>
      <c r="G41" s="11">
        <v>12.7</v>
      </c>
      <c r="H41" s="11">
        <v>46.5</v>
      </c>
      <c r="I41" s="11">
        <v>1.5</v>
      </c>
      <c r="J41" s="11">
        <v>5.8</v>
      </c>
      <c r="K41" s="7">
        <v>5.09</v>
      </c>
      <c r="L41" s="4">
        <v>25</v>
      </c>
      <c r="M41" s="11">
        <v>19.3</v>
      </c>
      <c r="N41" s="11">
        <v>13.3</v>
      </c>
      <c r="O41" s="11">
        <v>39.299999999999997</v>
      </c>
      <c r="P41" s="11">
        <v>8</v>
      </c>
      <c r="Q41" s="11">
        <v>15.1</v>
      </c>
      <c r="R41" s="5">
        <v>45973.513749999998</v>
      </c>
      <c r="S41" s="5">
        <v>45973.513923611114</v>
      </c>
      <c r="T41" s="6">
        <v>1.736111007630825E-4</v>
      </c>
    </row>
    <row r="42" spans="1:20" hidden="1" x14ac:dyDescent="0.3">
      <c r="A42" s="2">
        <v>394</v>
      </c>
      <c r="B42" t="s">
        <v>559</v>
      </c>
      <c r="C42" t="s">
        <v>24</v>
      </c>
      <c r="D42" t="s">
        <v>514</v>
      </c>
      <c r="E42" t="s">
        <v>474</v>
      </c>
      <c r="F42" t="s">
        <v>511</v>
      </c>
      <c r="G42" s="11">
        <v>12.9</v>
      </c>
      <c r="H42" s="11">
        <v>46.5</v>
      </c>
      <c r="I42" s="11">
        <v>1.5</v>
      </c>
      <c r="J42" s="11">
        <v>5.7</v>
      </c>
      <c r="K42" s="7">
        <v>4.99</v>
      </c>
      <c r="L42" s="4">
        <v>25</v>
      </c>
      <c r="M42" s="11">
        <v>20.100000000000001</v>
      </c>
      <c r="N42" s="11">
        <v>14.8</v>
      </c>
      <c r="O42" s="11">
        <v>40.6</v>
      </c>
      <c r="P42" s="11">
        <v>6.9</v>
      </c>
      <c r="Q42" s="11">
        <v>15.8</v>
      </c>
      <c r="R42" s="5">
        <v>45973.667557870373</v>
      </c>
      <c r="S42" s="5">
        <v>45973.667881944442</v>
      </c>
      <c r="T42" s="6">
        <v>3.2407406251877546E-4</v>
      </c>
    </row>
    <row r="43" spans="1:20" hidden="1" x14ac:dyDescent="0.3">
      <c r="A43" s="2">
        <v>395</v>
      </c>
      <c r="B43" t="s">
        <v>560</v>
      </c>
      <c r="C43" t="s">
        <v>24</v>
      </c>
      <c r="D43" t="s">
        <v>514</v>
      </c>
      <c r="E43" t="s">
        <v>474</v>
      </c>
      <c r="F43" t="s">
        <v>511</v>
      </c>
      <c r="G43" s="11">
        <v>12.8</v>
      </c>
      <c r="H43" s="11">
        <v>46.7</v>
      </c>
      <c r="I43" s="11">
        <v>1.5</v>
      </c>
      <c r="J43" s="11">
        <v>5.9</v>
      </c>
      <c r="K43" s="7">
        <v>5.01</v>
      </c>
      <c r="L43" s="4">
        <v>25</v>
      </c>
      <c r="M43" s="11">
        <v>21.7</v>
      </c>
      <c r="N43" s="11">
        <v>16.7</v>
      </c>
      <c r="O43" s="11">
        <v>40.6</v>
      </c>
      <c r="P43" s="11">
        <v>9.3000000000000007</v>
      </c>
      <c r="Q43" s="11">
        <v>17.5</v>
      </c>
      <c r="R43" s="5">
        <v>45973.668009259258</v>
      </c>
      <c r="S43" s="5">
        <v>45973.668263888889</v>
      </c>
      <c r="T43" s="6">
        <v>2.5462961639277637E-4</v>
      </c>
    </row>
    <row r="44" spans="1:20" x14ac:dyDescent="0.3">
      <c r="A44" s="2">
        <v>396</v>
      </c>
      <c r="B44" t="s">
        <v>561</v>
      </c>
      <c r="C44" t="s">
        <v>353</v>
      </c>
      <c r="D44" t="s">
        <v>514</v>
      </c>
      <c r="E44" t="s">
        <v>354</v>
      </c>
      <c r="F44" t="s">
        <v>511</v>
      </c>
      <c r="G44" s="11">
        <v>12.5</v>
      </c>
      <c r="H44" s="11">
        <v>46</v>
      </c>
      <c r="I44" s="11">
        <v>1.5</v>
      </c>
      <c r="J44" s="11">
        <v>5.9</v>
      </c>
      <c r="K44" s="7">
        <v>5.13</v>
      </c>
      <c r="L44" s="4">
        <v>25</v>
      </c>
      <c r="M44" s="11">
        <v>20.2</v>
      </c>
      <c r="N44" s="11">
        <v>12.9</v>
      </c>
      <c r="O44" s="11">
        <v>48.5</v>
      </c>
      <c r="P44" s="11">
        <v>5</v>
      </c>
      <c r="Q44" s="11">
        <v>14.2</v>
      </c>
      <c r="R44" s="5">
        <v>45974.489756944444</v>
      </c>
      <c r="S44" s="5">
        <v>45974.490034722221</v>
      </c>
      <c r="T44" s="6">
        <v>2.7777778450399637E-4</v>
      </c>
    </row>
    <row r="45" spans="1:20" x14ac:dyDescent="0.3">
      <c r="A45" s="2">
        <v>397</v>
      </c>
      <c r="B45" t="s">
        <v>562</v>
      </c>
      <c r="C45" t="s">
        <v>353</v>
      </c>
      <c r="D45" t="s">
        <v>514</v>
      </c>
      <c r="E45" t="s">
        <v>354</v>
      </c>
      <c r="F45" t="s">
        <v>511</v>
      </c>
      <c r="G45" s="11">
        <v>12.5</v>
      </c>
      <c r="H45" s="11">
        <v>45.3</v>
      </c>
      <c r="I45" s="11">
        <v>1.4</v>
      </c>
      <c r="J45" s="11">
        <v>6</v>
      </c>
      <c r="K45" s="7">
        <v>5.16</v>
      </c>
      <c r="L45" s="4">
        <v>25</v>
      </c>
      <c r="M45" s="11">
        <v>18.7</v>
      </c>
      <c r="N45" s="11">
        <v>11.3</v>
      </c>
      <c r="O45" s="11">
        <v>48.2</v>
      </c>
      <c r="P45" s="11">
        <v>4.5999999999999996</v>
      </c>
      <c r="Q45" s="11">
        <v>13.5</v>
      </c>
      <c r="R45" s="5">
        <v>45974.490173611113</v>
      </c>
      <c r="S45" s="5">
        <v>45974.490254629629</v>
      </c>
      <c r="T45" s="6">
        <v>8.1018515629693866E-5</v>
      </c>
    </row>
    <row r="46" spans="1:20" x14ac:dyDescent="0.3">
      <c r="A46" s="2">
        <v>398</v>
      </c>
      <c r="B46" t="s">
        <v>563</v>
      </c>
      <c r="C46" t="s">
        <v>353</v>
      </c>
      <c r="D46" t="s">
        <v>514</v>
      </c>
      <c r="E46" t="s">
        <v>354</v>
      </c>
      <c r="F46" t="s">
        <v>511</v>
      </c>
      <c r="G46" s="11">
        <v>12.4</v>
      </c>
      <c r="H46" s="11">
        <v>45.8</v>
      </c>
      <c r="I46" s="11">
        <v>1.6</v>
      </c>
      <c r="J46" s="11">
        <v>6.1</v>
      </c>
      <c r="K46" s="7">
        <v>5.08</v>
      </c>
      <c r="L46" s="4">
        <v>25</v>
      </c>
      <c r="M46" s="11">
        <v>21.7</v>
      </c>
      <c r="N46" s="11">
        <v>14.2</v>
      </c>
      <c r="O46" s="11">
        <v>46.1</v>
      </c>
      <c r="P46" s="11">
        <v>7.6</v>
      </c>
      <c r="Q46" s="11">
        <v>16</v>
      </c>
      <c r="R46" s="5">
        <v>45974.520416666666</v>
      </c>
      <c r="S46" s="5">
        <v>45974.520613425928</v>
      </c>
      <c r="T46" s="6">
        <v>1.9675926887430251E-4</v>
      </c>
    </row>
    <row r="47" spans="1:20" hidden="1" x14ac:dyDescent="0.3">
      <c r="A47" s="2">
        <v>399</v>
      </c>
      <c r="B47" t="s">
        <v>564</v>
      </c>
      <c r="C47" t="s">
        <v>353</v>
      </c>
      <c r="D47" t="s">
        <v>514</v>
      </c>
      <c r="E47" t="s">
        <v>358</v>
      </c>
      <c r="F47" t="s">
        <v>511</v>
      </c>
      <c r="G47" s="11">
        <v>12.6</v>
      </c>
      <c r="H47" s="11">
        <v>45.2</v>
      </c>
      <c r="I47" s="11">
        <v>1.5</v>
      </c>
      <c r="J47" s="11">
        <v>5.3</v>
      </c>
      <c r="K47" s="7">
        <v>5.49</v>
      </c>
      <c r="L47" s="4">
        <v>25</v>
      </c>
      <c r="M47" s="11">
        <v>18.2</v>
      </c>
      <c r="N47" s="11">
        <v>7.6</v>
      </c>
      <c r="O47" s="11">
        <v>45.5</v>
      </c>
      <c r="P47" s="11">
        <v>4.9000000000000004</v>
      </c>
      <c r="Q47" s="11">
        <v>8.6</v>
      </c>
      <c r="R47" s="5">
        <v>45974.579004629632</v>
      </c>
      <c r="S47" s="5">
        <v>45974.57912037037</v>
      </c>
      <c r="T47" s="6">
        <v>1.1574075324460864E-4</v>
      </c>
    </row>
    <row r="48" spans="1:20" hidden="1" x14ac:dyDescent="0.3">
      <c r="A48" s="2">
        <v>400</v>
      </c>
      <c r="B48" t="s">
        <v>565</v>
      </c>
      <c r="C48" t="s">
        <v>353</v>
      </c>
      <c r="D48" t="s">
        <v>514</v>
      </c>
      <c r="E48" t="s">
        <v>358</v>
      </c>
      <c r="F48" t="s">
        <v>511</v>
      </c>
      <c r="G48" s="11">
        <v>12.6</v>
      </c>
      <c r="H48" s="11">
        <v>45.2</v>
      </c>
      <c r="I48" s="11">
        <v>1.6</v>
      </c>
      <c r="J48" s="11">
        <v>5.3</v>
      </c>
      <c r="K48" s="7">
        <v>5.51</v>
      </c>
      <c r="L48" s="4">
        <v>25</v>
      </c>
      <c r="M48" s="11">
        <v>18.899999999999999</v>
      </c>
      <c r="N48" s="11">
        <v>8.4</v>
      </c>
      <c r="O48" s="11">
        <v>42.3</v>
      </c>
      <c r="P48" s="11">
        <v>6.2</v>
      </c>
      <c r="Q48" s="11">
        <v>8.8000000000000007</v>
      </c>
      <c r="R48" s="5">
        <v>45974.579236111109</v>
      </c>
      <c r="S48" s="5">
        <v>45974.579363425924</v>
      </c>
      <c r="T48" s="6">
        <v>1.2731482274830341E-4</v>
      </c>
    </row>
    <row r="49" spans="1:20" hidden="1" x14ac:dyDescent="0.3">
      <c r="A49" s="2">
        <v>401</v>
      </c>
      <c r="B49" t="s">
        <v>566</v>
      </c>
      <c r="C49" t="s">
        <v>353</v>
      </c>
      <c r="D49" t="s">
        <v>514</v>
      </c>
      <c r="E49" t="s">
        <v>358</v>
      </c>
      <c r="F49" t="s">
        <v>511</v>
      </c>
      <c r="G49" s="11">
        <v>12.7</v>
      </c>
      <c r="H49" s="11">
        <v>45.5</v>
      </c>
      <c r="I49" s="11">
        <v>1.5</v>
      </c>
      <c r="J49" s="11">
        <v>5.4</v>
      </c>
      <c r="K49" s="7">
        <v>5.53</v>
      </c>
      <c r="L49" s="4">
        <v>25</v>
      </c>
      <c r="M49" s="11">
        <v>20.9</v>
      </c>
      <c r="N49" s="11">
        <v>9</v>
      </c>
      <c r="O49" s="11">
        <v>47</v>
      </c>
      <c r="P49" s="11">
        <v>7</v>
      </c>
      <c r="Q49" s="11">
        <v>9.1</v>
      </c>
      <c r="R49" s="5">
        <v>45974.579479166663</v>
      </c>
      <c r="S49" s="5">
        <v>45974.579641203702</v>
      </c>
      <c r="T49" s="6">
        <v>1.6203703125938773E-4</v>
      </c>
    </row>
    <row r="50" spans="1:20" hidden="1" x14ac:dyDescent="0.3">
      <c r="A50" s="2">
        <v>402</v>
      </c>
      <c r="B50" t="s">
        <v>567</v>
      </c>
      <c r="C50" t="s">
        <v>362</v>
      </c>
      <c r="D50" t="s">
        <v>514</v>
      </c>
      <c r="E50" t="s">
        <v>363</v>
      </c>
      <c r="F50" t="s">
        <v>511</v>
      </c>
      <c r="G50" s="11">
        <v>12.5</v>
      </c>
      <c r="H50" s="11">
        <v>46.6</v>
      </c>
      <c r="I50" s="11">
        <v>1.6</v>
      </c>
      <c r="J50" s="11">
        <v>6</v>
      </c>
      <c r="K50" s="7">
        <v>5.13</v>
      </c>
      <c r="L50" s="4">
        <v>25</v>
      </c>
      <c r="M50" s="11">
        <v>28.1</v>
      </c>
      <c r="N50" s="11">
        <v>17.7</v>
      </c>
      <c r="O50" s="11">
        <v>66.099999999999994</v>
      </c>
      <c r="P50" s="11">
        <v>7.7</v>
      </c>
      <c r="Q50" s="11">
        <v>15.3</v>
      </c>
      <c r="R50" s="5">
        <v>45974.673090277778</v>
      </c>
      <c r="S50" s="5">
        <v>45974.67324074074</v>
      </c>
      <c r="T50" s="6">
        <v>1.5046296175569296E-4</v>
      </c>
    </row>
    <row r="51" spans="1:20" hidden="1" x14ac:dyDescent="0.3">
      <c r="A51" s="2">
        <v>403</v>
      </c>
      <c r="B51" t="s">
        <v>568</v>
      </c>
      <c r="C51" t="s">
        <v>362</v>
      </c>
      <c r="D51" t="s">
        <v>514</v>
      </c>
      <c r="E51" t="s">
        <v>363</v>
      </c>
      <c r="F51" t="s">
        <v>511</v>
      </c>
      <c r="G51" s="11">
        <v>12.3</v>
      </c>
      <c r="H51" s="11">
        <v>46</v>
      </c>
      <c r="I51" s="11">
        <v>1.5</v>
      </c>
      <c r="J51" s="11">
        <v>6.1</v>
      </c>
      <c r="K51" s="7">
        <v>5.17</v>
      </c>
      <c r="L51" s="4">
        <v>25</v>
      </c>
      <c r="M51" s="11">
        <v>22.9</v>
      </c>
      <c r="N51" s="11">
        <v>14.6</v>
      </c>
      <c r="O51" s="11">
        <v>58.8</v>
      </c>
      <c r="P51" s="11">
        <v>7.3</v>
      </c>
      <c r="Q51" s="11">
        <v>13.9</v>
      </c>
      <c r="R51" s="5">
        <v>45974.673449074071</v>
      </c>
      <c r="S51" s="5">
        <v>45974.673564814817</v>
      </c>
      <c r="T51" s="6">
        <v>1.1574075324460864E-4</v>
      </c>
    </row>
    <row r="52" spans="1:20" hidden="1" x14ac:dyDescent="0.3">
      <c r="A52" s="2">
        <v>404</v>
      </c>
      <c r="B52" t="s">
        <v>569</v>
      </c>
      <c r="C52" t="s">
        <v>362</v>
      </c>
      <c r="D52" t="s">
        <v>514</v>
      </c>
      <c r="E52" t="s">
        <v>363</v>
      </c>
      <c r="F52" t="s">
        <v>511</v>
      </c>
      <c r="G52" s="11">
        <v>12.4</v>
      </c>
      <c r="H52" s="11">
        <v>46.6</v>
      </c>
      <c r="I52" s="11">
        <v>1.8</v>
      </c>
      <c r="J52" s="11">
        <v>6.2</v>
      </c>
      <c r="K52" s="7">
        <v>5.23</v>
      </c>
      <c r="L52" s="4">
        <v>25</v>
      </c>
      <c r="M52" s="11">
        <v>28.4</v>
      </c>
      <c r="N52" s="11">
        <v>18.7</v>
      </c>
      <c r="O52" s="11">
        <v>61.2</v>
      </c>
      <c r="P52" s="11">
        <v>9.6999999999999993</v>
      </c>
      <c r="Q52" s="11">
        <v>17</v>
      </c>
      <c r="R52" s="5">
        <v>45974.673715277779</v>
      </c>
      <c r="S52" s="5">
        <v>45974.673900462964</v>
      </c>
      <c r="T52" s="6">
        <v>1.8518519937060773E-4</v>
      </c>
    </row>
    <row r="53" spans="1:20" hidden="1" x14ac:dyDescent="0.3">
      <c r="A53" s="2">
        <v>405</v>
      </c>
      <c r="B53" t="s">
        <v>570</v>
      </c>
      <c r="C53" t="s">
        <v>362</v>
      </c>
      <c r="D53" t="s">
        <v>514</v>
      </c>
      <c r="E53" t="s">
        <v>367</v>
      </c>
      <c r="F53" t="s">
        <v>511</v>
      </c>
      <c r="G53" s="11">
        <v>12.5</v>
      </c>
      <c r="H53" s="11">
        <v>44.7</v>
      </c>
      <c r="I53" s="11">
        <v>1.7</v>
      </c>
      <c r="J53" s="11">
        <v>5.4</v>
      </c>
      <c r="K53" s="7">
        <v>5.56</v>
      </c>
      <c r="L53" s="4">
        <v>25</v>
      </c>
      <c r="M53" s="11">
        <v>18.100000000000001</v>
      </c>
      <c r="N53" s="11">
        <v>7.2</v>
      </c>
      <c r="O53" s="11">
        <v>45.4</v>
      </c>
      <c r="P53" s="11">
        <v>4.3</v>
      </c>
      <c r="Q53" s="11">
        <v>8.4</v>
      </c>
      <c r="R53" s="5">
        <v>45974.687314814815</v>
      </c>
      <c r="S53" s="5">
        <v>45974.687465277777</v>
      </c>
      <c r="T53" s="6">
        <v>1.5046296175569296E-4</v>
      </c>
    </row>
    <row r="54" spans="1:20" hidden="1" x14ac:dyDescent="0.3">
      <c r="A54" s="2">
        <v>406</v>
      </c>
      <c r="B54" t="s">
        <v>571</v>
      </c>
      <c r="C54" t="s">
        <v>362</v>
      </c>
      <c r="D54" t="s">
        <v>514</v>
      </c>
      <c r="E54" t="s">
        <v>367</v>
      </c>
      <c r="F54" t="s">
        <v>511</v>
      </c>
      <c r="G54" s="11">
        <v>12.6</v>
      </c>
      <c r="H54" s="11">
        <v>45.2</v>
      </c>
      <c r="I54" s="11">
        <v>1.5</v>
      </c>
      <c r="J54" s="11">
        <v>5.2</v>
      </c>
      <c r="K54" s="7">
        <v>5.62</v>
      </c>
      <c r="L54" s="4">
        <v>25</v>
      </c>
      <c r="M54" s="11">
        <v>18.100000000000001</v>
      </c>
      <c r="N54" s="11">
        <v>7.1</v>
      </c>
      <c r="O54" s="11">
        <v>47.8</v>
      </c>
      <c r="P54" s="11">
        <v>4.9000000000000004</v>
      </c>
      <c r="Q54" s="11">
        <v>7.5</v>
      </c>
      <c r="R54" s="5">
        <v>45974.687569444446</v>
      </c>
      <c r="S54" s="5">
        <v>45974.687696759262</v>
      </c>
      <c r="T54" s="6">
        <v>1.1574075324460864E-4</v>
      </c>
    </row>
    <row r="55" spans="1:20" hidden="1" x14ac:dyDescent="0.3">
      <c r="A55" s="2">
        <v>407</v>
      </c>
      <c r="B55" t="s">
        <v>572</v>
      </c>
      <c r="C55" t="s">
        <v>362</v>
      </c>
      <c r="D55" t="s">
        <v>514</v>
      </c>
      <c r="E55" t="s">
        <v>367</v>
      </c>
      <c r="F55" t="s">
        <v>511</v>
      </c>
      <c r="G55" s="11">
        <v>12.6</v>
      </c>
      <c r="H55" s="11">
        <v>44.6</v>
      </c>
      <c r="I55" s="11">
        <v>1.7</v>
      </c>
      <c r="J55" s="11">
        <v>5.5</v>
      </c>
      <c r="K55" s="7">
        <v>5.67</v>
      </c>
      <c r="L55" s="4">
        <v>25</v>
      </c>
      <c r="M55" s="11">
        <v>19.100000000000001</v>
      </c>
      <c r="N55" s="11">
        <v>7.7</v>
      </c>
      <c r="O55" s="11">
        <v>46.7</v>
      </c>
      <c r="P55" s="11">
        <v>5.7</v>
      </c>
      <c r="Q55" s="11">
        <v>8.3000000000000007</v>
      </c>
      <c r="R55" s="5">
        <v>45974.6878125</v>
      </c>
      <c r="S55" s="5">
        <v>45974.688009259262</v>
      </c>
      <c r="T55" s="6">
        <v>1.9675926887430251E-4</v>
      </c>
    </row>
    <row r="56" spans="1:20" x14ac:dyDescent="0.3">
      <c r="A56" s="2">
        <v>408</v>
      </c>
      <c r="B56" t="s">
        <v>573</v>
      </c>
      <c r="C56" t="s">
        <v>353</v>
      </c>
      <c r="D56" t="s">
        <v>514</v>
      </c>
      <c r="E56" t="s">
        <v>371</v>
      </c>
      <c r="F56" t="s">
        <v>511</v>
      </c>
      <c r="G56" s="11">
        <v>12.2</v>
      </c>
      <c r="H56" s="11">
        <v>46</v>
      </c>
      <c r="I56" s="11">
        <v>1.5</v>
      </c>
      <c r="J56" s="11">
        <v>5.8</v>
      </c>
      <c r="K56" s="7">
        <v>5.21</v>
      </c>
      <c r="L56" s="4">
        <v>25</v>
      </c>
      <c r="M56" s="11">
        <v>20.5</v>
      </c>
      <c r="N56" s="11">
        <v>12.8</v>
      </c>
      <c r="O56" s="11">
        <v>47</v>
      </c>
      <c r="P56" s="11">
        <v>5.9</v>
      </c>
      <c r="Q56" s="11">
        <v>13.1</v>
      </c>
      <c r="R56" s="5">
        <v>45975.514722222222</v>
      </c>
      <c r="S56" s="5">
        <v>45975.515324074076</v>
      </c>
      <c r="T56" s="6">
        <v>6.1342591652646661E-4</v>
      </c>
    </row>
    <row r="57" spans="1:20" x14ac:dyDescent="0.3">
      <c r="A57" s="2">
        <v>409</v>
      </c>
      <c r="B57" t="s">
        <v>574</v>
      </c>
      <c r="C57" t="s">
        <v>353</v>
      </c>
      <c r="D57" t="s">
        <v>514</v>
      </c>
      <c r="E57" t="s">
        <v>371</v>
      </c>
      <c r="F57" t="s">
        <v>511</v>
      </c>
      <c r="G57" s="11">
        <v>12.1</v>
      </c>
      <c r="H57" s="11">
        <v>45.8</v>
      </c>
      <c r="I57" s="11">
        <v>1.4</v>
      </c>
      <c r="J57" s="11">
        <v>5.7</v>
      </c>
      <c r="K57" s="7">
        <v>5.08</v>
      </c>
      <c r="L57" s="4">
        <v>25</v>
      </c>
      <c r="M57" s="11">
        <v>18.100000000000001</v>
      </c>
      <c r="N57" s="11">
        <v>11.3</v>
      </c>
      <c r="O57" s="11">
        <v>45</v>
      </c>
      <c r="P57" s="11">
        <v>5.3</v>
      </c>
      <c r="Q57" s="11">
        <v>12.4</v>
      </c>
      <c r="R57" s="5">
        <v>45975.515486111108</v>
      </c>
      <c r="S57" s="5">
        <v>45975.515613425923</v>
      </c>
      <c r="T57" s="6">
        <v>1.2731482274830341E-4</v>
      </c>
    </row>
    <row r="58" spans="1:20" x14ac:dyDescent="0.3">
      <c r="A58" s="2">
        <v>410</v>
      </c>
      <c r="B58" t="s">
        <v>575</v>
      </c>
      <c r="C58" t="s">
        <v>353</v>
      </c>
      <c r="D58" t="s">
        <v>514</v>
      </c>
      <c r="E58" t="s">
        <v>371</v>
      </c>
      <c r="F58" t="s">
        <v>511</v>
      </c>
      <c r="G58" s="11">
        <v>12.2</v>
      </c>
      <c r="H58" s="11">
        <v>45.6</v>
      </c>
      <c r="I58" s="11">
        <v>1.5</v>
      </c>
      <c r="J58" s="11">
        <v>6</v>
      </c>
      <c r="K58" s="7">
        <v>5.17</v>
      </c>
      <c r="L58" s="4">
        <v>25</v>
      </c>
      <c r="M58" s="11">
        <v>22.1</v>
      </c>
      <c r="N58" s="11">
        <v>14.1</v>
      </c>
      <c r="O58" s="11">
        <v>53.6</v>
      </c>
      <c r="P58" s="11">
        <v>6.9</v>
      </c>
      <c r="Q58" s="11">
        <v>14.8</v>
      </c>
      <c r="R58" s="5">
        <v>45975.516238425924</v>
      </c>
      <c r="S58" s="5">
        <v>45975.516527777778</v>
      </c>
      <c r="T58" s="6">
        <v>2.7777778450399637E-4</v>
      </c>
    </row>
    <row r="59" spans="1:20" hidden="1" x14ac:dyDescent="0.3">
      <c r="A59" s="2">
        <v>411</v>
      </c>
      <c r="B59" t="s">
        <v>576</v>
      </c>
      <c r="C59" t="s">
        <v>353</v>
      </c>
      <c r="D59" t="s">
        <v>514</v>
      </c>
      <c r="E59" t="s">
        <v>375</v>
      </c>
      <c r="F59" t="s">
        <v>511</v>
      </c>
      <c r="G59" s="11">
        <v>12.4</v>
      </c>
      <c r="H59" s="11">
        <v>45.4</v>
      </c>
      <c r="I59" s="11">
        <v>1.4</v>
      </c>
      <c r="J59" s="11">
        <v>5.2</v>
      </c>
      <c r="K59" s="7">
        <v>5.46</v>
      </c>
      <c r="L59" s="4">
        <v>25</v>
      </c>
      <c r="M59" s="11">
        <v>20.399999999999999</v>
      </c>
      <c r="N59" s="11">
        <v>9.1999999999999993</v>
      </c>
      <c r="O59" s="11">
        <v>50.9</v>
      </c>
      <c r="P59" s="11">
        <v>4.8</v>
      </c>
      <c r="Q59" s="11">
        <v>9.1</v>
      </c>
      <c r="R59" s="5">
        <v>45975.614861111113</v>
      </c>
      <c r="S59" s="5">
        <v>45975.615069444444</v>
      </c>
      <c r="T59" s="6">
        <v>2.0833333837799728E-4</v>
      </c>
    </row>
    <row r="60" spans="1:20" hidden="1" x14ac:dyDescent="0.3">
      <c r="A60" s="2">
        <v>412</v>
      </c>
      <c r="B60" t="s">
        <v>577</v>
      </c>
      <c r="C60" t="s">
        <v>353</v>
      </c>
      <c r="D60" t="s">
        <v>514</v>
      </c>
      <c r="E60" t="s">
        <v>375</v>
      </c>
      <c r="F60" t="s">
        <v>511</v>
      </c>
      <c r="G60" s="11">
        <v>12.3</v>
      </c>
      <c r="H60" s="11">
        <v>45.2</v>
      </c>
      <c r="I60" s="11">
        <v>1.5</v>
      </c>
      <c r="J60" s="11">
        <v>5.4</v>
      </c>
      <c r="K60" s="7">
        <v>5.54</v>
      </c>
      <c r="L60" s="4">
        <v>25</v>
      </c>
      <c r="M60" s="11">
        <v>19</v>
      </c>
      <c r="N60" s="11">
        <v>8.3000000000000007</v>
      </c>
      <c r="O60" s="11">
        <v>44.7</v>
      </c>
      <c r="P60" s="11">
        <v>5.7</v>
      </c>
      <c r="Q60" s="11">
        <v>8.9</v>
      </c>
      <c r="R60" s="5">
        <v>45975.615219907406</v>
      </c>
      <c r="S60" s="5">
        <v>45975.615428240744</v>
      </c>
      <c r="T60" s="6">
        <v>2.0833333837799728E-4</v>
      </c>
    </row>
    <row r="61" spans="1:20" hidden="1" x14ac:dyDescent="0.3">
      <c r="A61" s="2">
        <v>413</v>
      </c>
      <c r="B61" t="s">
        <v>578</v>
      </c>
      <c r="C61" t="s">
        <v>353</v>
      </c>
      <c r="D61" t="s">
        <v>514</v>
      </c>
      <c r="E61" t="s">
        <v>375</v>
      </c>
      <c r="F61" t="s">
        <v>511</v>
      </c>
      <c r="G61" s="11">
        <v>12.3</v>
      </c>
      <c r="H61" s="11">
        <v>45.7</v>
      </c>
      <c r="I61" s="11">
        <v>1.3</v>
      </c>
      <c r="J61" s="11">
        <v>5.3</v>
      </c>
      <c r="K61" s="7">
        <v>5.58</v>
      </c>
      <c r="L61" s="4">
        <v>25</v>
      </c>
      <c r="M61" s="11">
        <v>19.3</v>
      </c>
      <c r="N61" s="11">
        <v>9.5</v>
      </c>
      <c r="O61" s="11">
        <v>52.2</v>
      </c>
      <c r="P61" s="11">
        <v>6.9</v>
      </c>
      <c r="Q61" s="11">
        <v>8.6</v>
      </c>
      <c r="R61" s="5">
        <v>45975.615532407406</v>
      </c>
      <c r="S61" s="5">
        <v>45975.615740740737</v>
      </c>
      <c r="T61" s="6">
        <v>2.0833333837799728E-4</v>
      </c>
    </row>
    <row r="62" spans="1:20" hidden="1" x14ac:dyDescent="0.3">
      <c r="A62" s="2">
        <v>414</v>
      </c>
      <c r="B62" t="s">
        <v>579</v>
      </c>
      <c r="C62" t="s">
        <v>353</v>
      </c>
      <c r="D62" t="s">
        <v>514</v>
      </c>
      <c r="E62" t="s">
        <v>375</v>
      </c>
      <c r="F62" t="s">
        <v>511</v>
      </c>
      <c r="G62" s="11">
        <v>12.2</v>
      </c>
      <c r="H62" s="11">
        <v>45.9</v>
      </c>
      <c r="I62" s="11">
        <v>1.4</v>
      </c>
      <c r="J62" s="11">
        <v>5.2</v>
      </c>
      <c r="K62" s="7">
        <v>5.51</v>
      </c>
      <c r="L62" s="4">
        <v>25</v>
      </c>
      <c r="M62" s="11">
        <v>20.399999999999999</v>
      </c>
      <c r="N62" s="11">
        <v>9</v>
      </c>
      <c r="O62" s="11">
        <v>50.3</v>
      </c>
      <c r="P62" s="11">
        <v>5.5</v>
      </c>
      <c r="Q62" s="11">
        <v>8.9</v>
      </c>
      <c r="R62" s="5">
        <v>45978.494120370371</v>
      </c>
      <c r="S62" s="5">
        <v>45978.494456018518</v>
      </c>
      <c r="T62" s="6">
        <v>3.2407406251877546E-4</v>
      </c>
    </row>
    <row r="63" spans="1:20" hidden="1" x14ac:dyDescent="0.3">
      <c r="A63" s="2">
        <v>415</v>
      </c>
      <c r="B63" t="s">
        <v>580</v>
      </c>
      <c r="C63" t="s">
        <v>353</v>
      </c>
      <c r="D63" t="s">
        <v>514</v>
      </c>
      <c r="E63" t="s">
        <v>375</v>
      </c>
      <c r="F63" t="s">
        <v>511</v>
      </c>
      <c r="G63" s="11">
        <v>12.2</v>
      </c>
      <c r="H63" s="11">
        <v>45.5</v>
      </c>
      <c r="I63" s="11">
        <v>1.4</v>
      </c>
      <c r="J63" s="11">
        <v>5.2</v>
      </c>
      <c r="K63" s="7">
        <v>5.54</v>
      </c>
      <c r="L63" s="4">
        <v>25</v>
      </c>
      <c r="M63" s="11">
        <v>18.7</v>
      </c>
      <c r="N63" s="11">
        <v>7.9</v>
      </c>
      <c r="O63" s="11">
        <v>45.2</v>
      </c>
      <c r="P63" s="11">
        <v>5.5</v>
      </c>
      <c r="Q63" s="11">
        <v>8</v>
      </c>
      <c r="R63" s="5">
        <v>45978.494849537034</v>
      </c>
      <c r="S63" s="5">
        <v>45978.495046296295</v>
      </c>
      <c r="T63" s="6">
        <v>1.9675926887430251E-4</v>
      </c>
    </row>
    <row r="64" spans="1:20" hidden="1" x14ac:dyDescent="0.3">
      <c r="A64" s="2">
        <v>416</v>
      </c>
      <c r="B64" t="s">
        <v>581</v>
      </c>
      <c r="C64" t="s">
        <v>353</v>
      </c>
      <c r="D64" t="s">
        <v>514</v>
      </c>
      <c r="E64" t="s">
        <v>375</v>
      </c>
      <c r="F64" t="s">
        <v>511</v>
      </c>
      <c r="G64" s="11">
        <v>12.2</v>
      </c>
      <c r="H64" s="11">
        <v>45.1</v>
      </c>
      <c r="I64" s="11">
        <v>1.5</v>
      </c>
      <c r="J64" s="11">
        <v>5.6</v>
      </c>
      <c r="K64" s="7">
        <v>5.51</v>
      </c>
      <c r="L64" s="4">
        <v>25</v>
      </c>
      <c r="M64" s="11">
        <v>19.899999999999999</v>
      </c>
      <c r="N64" s="11">
        <v>9.1999999999999993</v>
      </c>
      <c r="O64" s="11">
        <v>48.4</v>
      </c>
      <c r="P64" s="11">
        <v>6.4</v>
      </c>
      <c r="Q64" s="11">
        <v>9.8000000000000007</v>
      </c>
      <c r="R64" s="5">
        <v>45978.495127314818</v>
      </c>
      <c r="S64" s="5">
        <v>45978.495300925926</v>
      </c>
      <c r="T64" s="6">
        <v>1.6203703125938773E-4</v>
      </c>
    </row>
    <row r="65" spans="1:20" x14ac:dyDescent="0.3">
      <c r="A65" s="2">
        <v>417</v>
      </c>
      <c r="B65" t="s">
        <v>582</v>
      </c>
      <c r="C65" t="s">
        <v>353</v>
      </c>
      <c r="D65" t="s">
        <v>514</v>
      </c>
      <c r="E65" t="s">
        <v>382</v>
      </c>
      <c r="F65" t="s">
        <v>511</v>
      </c>
      <c r="G65" s="11">
        <v>12.1</v>
      </c>
      <c r="H65" s="11">
        <v>45.6</v>
      </c>
      <c r="I65" s="11">
        <v>1.4</v>
      </c>
      <c r="J65" s="11">
        <v>6.2</v>
      </c>
      <c r="K65" s="7">
        <v>5.0199999999999996</v>
      </c>
      <c r="L65" s="4">
        <v>25</v>
      </c>
      <c r="M65" s="11">
        <v>21.3</v>
      </c>
      <c r="N65" s="11">
        <v>13.5</v>
      </c>
      <c r="O65" s="11">
        <v>48.8</v>
      </c>
      <c r="P65" s="11">
        <v>6</v>
      </c>
      <c r="Q65" s="11">
        <v>15.5</v>
      </c>
      <c r="R65" s="5">
        <v>45978.508171296293</v>
      </c>
      <c r="S65" s="5">
        <v>45978.508483796293</v>
      </c>
      <c r="T65" s="6">
        <v>3.0092592351138592E-4</v>
      </c>
    </row>
    <row r="66" spans="1:20" x14ac:dyDescent="0.3">
      <c r="A66" s="2">
        <v>418</v>
      </c>
      <c r="B66" t="s">
        <v>583</v>
      </c>
      <c r="C66" t="s">
        <v>353</v>
      </c>
      <c r="D66" t="s">
        <v>514</v>
      </c>
      <c r="E66" t="s">
        <v>382</v>
      </c>
      <c r="F66" t="s">
        <v>511</v>
      </c>
      <c r="G66" s="11">
        <v>12.2</v>
      </c>
      <c r="H66" s="11">
        <v>45.9</v>
      </c>
      <c r="I66" s="11">
        <v>1.4</v>
      </c>
      <c r="J66" s="11">
        <v>5.7</v>
      </c>
      <c r="K66" s="7">
        <v>5.07</v>
      </c>
      <c r="L66" s="4">
        <v>25</v>
      </c>
      <c r="M66" s="11">
        <v>20.3</v>
      </c>
      <c r="N66" s="11">
        <v>11.9</v>
      </c>
      <c r="O66" s="11">
        <v>48</v>
      </c>
      <c r="P66" s="11">
        <v>5.7</v>
      </c>
      <c r="Q66" s="11">
        <v>13.7</v>
      </c>
      <c r="R66" s="5">
        <v>45978.508564814816</v>
      </c>
      <c r="S66" s="5">
        <v>45978.508703703701</v>
      </c>
      <c r="T66" s="6">
        <v>1.3888889225199819E-4</v>
      </c>
    </row>
    <row r="67" spans="1:20" x14ac:dyDescent="0.3">
      <c r="A67" s="2">
        <v>419</v>
      </c>
      <c r="B67" t="s">
        <v>584</v>
      </c>
      <c r="C67" t="s">
        <v>353</v>
      </c>
      <c r="D67" t="s">
        <v>514</v>
      </c>
      <c r="E67" t="s">
        <v>382</v>
      </c>
      <c r="F67" t="s">
        <v>511</v>
      </c>
      <c r="G67" s="11">
        <v>12</v>
      </c>
      <c r="H67" s="11">
        <v>46.3</v>
      </c>
      <c r="I67" s="11">
        <v>1.5</v>
      </c>
      <c r="J67" s="11">
        <v>5.8</v>
      </c>
      <c r="K67" s="7">
        <v>5.17</v>
      </c>
      <c r="L67" s="4">
        <v>25</v>
      </c>
      <c r="M67" s="11">
        <v>22.2</v>
      </c>
      <c r="N67" s="11">
        <v>14.9</v>
      </c>
      <c r="O67" s="11">
        <v>51.6</v>
      </c>
      <c r="P67" s="11">
        <v>7.9</v>
      </c>
      <c r="Q67" s="11">
        <v>14.9</v>
      </c>
      <c r="R67" s="5">
        <v>45978.50880787037</v>
      </c>
      <c r="S67" s="5">
        <v>45978.508946759262</v>
      </c>
      <c r="T67" s="6">
        <v>1.3888889225199819E-4</v>
      </c>
    </row>
    <row r="68" spans="1:20" x14ac:dyDescent="0.3">
      <c r="A68" s="2">
        <v>420</v>
      </c>
      <c r="B68" t="s">
        <v>585</v>
      </c>
      <c r="C68" t="s">
        <v>353</v>
      </c>
      <c r="D68" t="s">
        <v>514</v>
      </c>
      <c r="E68" t="s">
        <v>386</v>
      </c>
      <c r="F68" t="s">
        <v>511</v>
      </c>
      <c r="G68" s="11">
        <v>11.9</v>
      </c>
      <c r="H68" s="11">
        <v>46.1</v>
      </c>
      <c r="I68" s="11">
        <v>1.5</v>
      </c>
      <c r="J68" s="11">
        <v>5.8</v>
      </c>
      <c r="K68" s="7">
        <v>4.9800000000000004</v>
      </c>
      <c r="L68" s="4">
        <v>25</v>
      </c>
      <c r="M68" s="11">
        <v>19.2</v>
      </c>
      <c r="N68" s="11">
        <v>13.2</v>
      </c>
      <c r="O68" s="11">
        <v>38.9</v>
      </c>
      <c r="P68" s="11">
        <v>5.6</v>
      </c>
      <c r="Q68" s="11">
        <v>13.6</v>
      </c>
      <c r="R68" s="5">
        <v>45978.536377314813</v>
      </c>
      <c r="S68" s="5">
        <v>45978.536527777775</v>
      </c>
      <c r="T68" s="6">
        <v>1.3888889225199819E-4</v>
      </c>
    </row>
    <row r="69" spans="1:20" x14ac:dyDescent="0.3">
      <c r="A69" s="2">
        <v>421</v>
      </c>
      <c r="B69" t="s">
        <v>586</v>
      </c>
      <c r="C69" t="s">
        <v>353</v>
      </c>
      <c r="D69" t="s">
        <v>514</v>
      </c>
      <c r="E69" t="s">
        <v>386</v>
      </c>
      <c r="F69" t="s">
        <v>511</v>
      </c>
      <c r="G69" s="11">
        <v>12</v>
      </c>
      <c r="H69" s="11">
        <v>46.5</v>
      </c>
      <c r="I69" s="11">
        <v>1.6</v>
      </c>
      <c r="J69" s="11">
        <v>5.8</v>
      </c>
      <c r="K69" s="7">
        <v>4.99</v>
      </c>
      <c r="L69" s="4">
        <v>25</v>
      </c>
      <c r="M69" s="11">
        <v>21.9</v>
      </c>
      <c r="N69" s="11">
        <v>16.3</v>
      </c>
      <c r="O69" s="11">
        <v>45.3</v>
      </c>
      <c r="P69" s="11">
        <v>8.1999999999999993</v>
      </c>
      <c r="Q69" s="11">
        <v>15.6</v>
      </c>
      <c r="R69" s="5">
        <v>45978.536678240744</v>
      </c>
      <c r="S69" s="5">
        <v>45978.536851851852</v>
      </c>
      <c r="T69" s="6">
        <v>1.8518519937060773E-4</v>
      </c>
    </row>
    <row r="70" spans="1:20" x14ac:dyDescent="0.3">
      <c r="A70" s="2">
        <v>422</v>
      </c>
      <c r="B70" t="s">
        <v>587</v>
      </c>
      <c r="C70" t="s">
        <v>353</v>
      </c>
      <c r="D70" t="s">
        <v>514</v>
      </c>
      <c r="E70" t="s">
        <v>386</v>
      </c>
      <c r="F70" t="s">
        <v>511</v>
      </c>
      <c r="G70" s="11">
        <v>12</v>
      </c>
      <c r="H70" s="11">
        <v>45.9</v>
      </c>
      <c r="I70" s="11">
        <v>1.5</v>
      </c>
      <c r="J70" s="11">
        <v>5.9</v>
      </c>
      <c r="K70" s="7">
        <v>5.05</v>
      </c>
      <c r="L70" s="4">
        <v>25</v>
      </c>
      <c r="M70" s="11">
        <v>20.399999999999999</v>
      </c>
      <c r="N70" s="11">
        <v>14.1</v>
      </c>
      <c r="O70" s="11">
        <v>44.4</v>
      </c>
      <c r="P70" s="11">
        <v>7.3</v>
      </c>
      <c r="Q70" s="11">
        <v>15</v>
      </c>
      <c r="R70" s="5">
        <v>45978.53696759259</v>
      </c>
      <c r="S70" s="5">
        <v>45978.537118055552</v>
      </c>
      <c r="T70" s="6">
        <v>1.3888889225199819E-4</v>
      </c>
    </row>
    <row r="71" spans="1:20" hidden="1" x14ac:dyDescent="0.3">
      <c r="A71" s="2">
        <v>423</v>
      </c>
      <c r="B71" t="s">
        <v>588</v>
      </c>
      <c r="C71" t="s">
        <v>353</v>
      </c>
      <c r="D71" t="s">
        <v>514</v>
      </c>
      <c r="E71" t="s">
        <v>390</v>
      </c>
      <c r="F71" t="s">
        <v>511</v>
      </c>
      <c r="G71" s="11">
        <v>12.3</v>
      </c>
      <c r="H71" s="11">
        <v>45.2</v>
      </c>
      <c r="I71" s="11">
        <v>1.5</v>
      </c>
      <c r="J71" s="11">
        <v>5.3</v>
      </c>
      <c r="K71" s="7">
        <v>5.45</v>
      </c>
      <c r="L71" s="4">
        <v>25</v>
      </c>
      <c r="M71" s="11">
        <v>17.5</v>
      </c>
      <c r="N71" s="11">
        <v>8.4</v>
      </c>
      <c r="O71" s="11">
        <v>40.700000000000003</v>
      </c>
      <c r="P71" s="11">
        <v>6.1</v>
      </c>
      <c r="Q71" s="11">
        <v>8.6999999999999993</v>
      </c>
      <c r="R71" s="5">
        <v>45978.547731481478</v>
      </c>
      <c r="S71" s="5">
        <v>45978.548761574071</v>
      </c>
      <c r="T71" s="6">
        <v>1.0300925932824612E-3</v>
      </c>
    </row>
    <row r="72" spans="1:20" hidden="1" x14ac:dyDescent="0.3">
      <c r="A72" s="2">
        <v>424</v>
      </c>
      <c r="B72" t="s">
        <v>589</v>
      </c>
      <c r="C72" t="s">
        <v>353</v>
      </c>
      <c r="D72" t="s">
        <v>514</v>
      </c>
      <c r="E72" t="s">
        <v>390</v>
      </c>
      <c r="F72" t="s">
        <v>511</v>
      </c>
      <c r="G72" s="11">
        <v>12.1</v>
      </c>
      <c r="H72" s="11">
        <v>45.1</v>
      </c>
      <c r="I72" s="11">
        <v>1.5</v>
      </c>
      <c r="J72" s="11">
        <v>5.4</v>
      </c>
      <c r="K72" s="7">
        <v>5.46</v>
      </c>
      <c r="L72" s="4">
        <v>25</v>
      </c>
      <c r="M72" s="11">
        <v>17.100000000000001</v>
      </c>
      <c r="N72" s="11">
        <v>8.9</v>
      </c>
      <c r="O72" s="11">
        <v>42.7</v>
      </c>
      <c r="P72" s="11">
        <v>6.9</v>
      </c>
      <c r="Q72" s="11">
        <v>9.6</v>
      </c>
      <c r="R72" s="5">
        <v>45978.548888888887</v>
      </c>
      <c r="S72" s="5">
        <v>45978.549120370371</v>
      </c>
      <c r="T72" s="6">
        <v>2.3148147738538682E-4</v>
      </c>
    </row>
    <row r="73" spans="1:20" hidden="1" x14ac:dyDescent="0.3">
      <c r="A73" s="2">
        <v>425</v>
      </c>
      <c r="B73" t="s">
        <v>590</v>
      </c>
      <c r="C73" t="s">
        <v>353</v>
      </c>
      <c r="D73" t="s">
        <v>514</v>
      </c>
      <c r="E73" t="s">
        <v>390</v>
      </c>
      <c r="F73" t="s">
        <v>511</v>
      </c>
      <c r="G73" s="11">
        <v>12.1</v>
      </c>
      <c r="H73" s="11">
        <v>45.3</v>
      </c>
      <c r="I73" s="11">
        <v>1.5</v>
      </c>
      <c r="J73" s="11">
        <v>5.5</v>
      </c>
      <c r="K73" s="7">
        <v>5.45</v>
      </c>
      <c r="L73" s="4">
        <v>25</v>
      </c>
      <c r="M73" s="11">
        <v>17.399999999999999</v>
      </c>
      <c r="N73" s="11">
        <v>9.1</v>
      </c>
      <c r="O73" s="11">
        <v>40.5</v>
      </c>
      <c r="P73" s="11">
        <v>7</v>
      </c>
      <c r="Q73" s="11">
        <v>8.8000000000000007</v>
      </c>
      <c r="R73" s="5">
        <v>45978.549224537041</v>
      </c>
      <c r="S73" s="5">
        <v>45978.549375000002</v>
      </c>
      <c r="T73" s="6">
        <v>1.5046296175569296E-4</v>
      </c>
    </row>
    <row r="74" spans="1:20" hidden="1" x14ac:dyDescent="0.3">
      <c r="B74" s="1" t="s">
        <v>42</v>
      </c>
      <c r="G74" s="9">
        <f t="shared" ref="G74:Q74" si="0">AVERAGE(G4:G73)</f>
        <v>12.756521739130438</v>
      </c>
      <c r="H74" s="9">
        <f t="shared" si="0"/>
        <v>45.521739130434767</v>
      </c>
      <c r="I74" s="9">
        <f t="shared" si="0"/>
        <v>1.8913043478260869</v>
      </c>
      <c r="J74" s="9">
        <f t="shared" si="0"/>
        <v>5.9457142857142848</v>
      </c>
      <c r="K74" s="8">
        <f t="shared" si="0"/>
        <v>5.3552941176470581</v>
      </c>
      <c r="L74" s="10">
        <f t="shared" si="0"/>
        <v>25</v>
      </c>
      <c r="M74" s="9">
        <f t="shared" si="0"/>
        <v>21.108695652173914</v>
      </c>
      <c r="N74" s="9">
        <f t="shared" si="0"/>
        <v>11.391304347826088</v>
      </c>
      <c r="O74" s="9">
        <f t="shared" si="0"/>
        <v>43.51449275362318</v>
      </c>
      <c r="P74" s="9">
        <f t="shared" si="0"/>
        <v>6.363768115942027</v>
      </c>
      <c r="Q74" s="9">
        <f t="shared" si="0"/>
        <v>14.695652173913039</v>
      </c>
    </row>
    <row r="75" spans="1:20" hidden="1" x14ac:dyDescent="0.3">
      <c r="B75" s="1" t="s">
        <v>43</v>
      </c>
      <c r="G75" s="9">
        <f t="shared" ref="G75:Q75" si="1">MIN(G4:G73)</f>
        <v>2.5</v>
      </c>
      <c r="H75" s="9">
        <f t="shared" si="1"/>
        <v>7</v>
      </c>
      <c r="I75" s="9">
        <f t="shared" si="1"/>
        <v>1</v>
      </c>
      <c r="J75" s="9">
        <f t="shared" si="1"/>
        <v>4.9000000000000004</v>
      </c>
      <c r="K75" s="8">
        <f t="shared" si="1"/>
        <v>4.7</v>
      </c>
      <c r="L75" s="10">
        <f t="shared" si="1"/>
        <v>25</v>
      </c>
      <c r="M75" s="9">
        <f t="shared" si="1"/>
        <v>14.7</v>
      </c>
      <c r="N75" s="9">
        <f t="shared" si="1"/>
        <v>5</v>
      </c>
      <c r="O75" s="9">
        <f t="shared" si="1"/>
        <v>31.2</v>
      </c>
      <c r="P75" s="9">
        <f t="shared" si="1"/>
        <v>1.9</v>
      </c>
      <c r="Q75" s="9">
        <f t="shared" si="1"/>
        <v>5.8</v>
      </c>
    </row>
    <row r="76" spans="1:20" hidden="1" x14ac:dyDescent="0.3">
      <c r="B76" s="1" t="s">
        <v>44</v>
      </c>
      <c r="G76" s="9">
        <f t="shared" ref="G76:Q76" si="2">MAX(G4:G73)</f>
        <v>14.9</v>
      </c>
      <c r="H76" s="9">
        <f t="shared" si="2"/>
        <v>50.2</v>
      </c>
      <c r="I76" s="9">
        <f t="shared" si="2"/>
        <v>29</v>
      </c>
      <c r="J76" s="9">
        <f t="shared" si="2"/>
        <v>35.799999999999997</v>
      </c>
      <c r="K76" s="8">
        <f t="shared" si="2"/>
        <v>6.17</v>
      </c>
      <c r="L76" s="10">
        <f t="shared" si="2"/>
        <v>25</v>
      </c>
      <c r="M76" s="9">
        <f t="shared" si="2"/>
        <v>44.7</v>
      </c>
      <c r="N76" s="9">
        <f t="shared" si="2"/>
        <v>26.9</v>
      </c>
      <c r="O76" s="9">
        <f t="shared" si="2"/>
        <v>66.099999999999994</v>
      </c>
      <c r="P76" s="9">
        <f t="shared" si="2"/>
        <v>18.7</v>
      </c>
      <c r="Q76" s="9">
        <f t="shared" si="2"/>
        <v>55.1</v>
      </c>
    </row>
    <row r="77" spans="1:20" hidden="1" x14ac:dyDescent="0.3">
      <c r="B77" s="1" t="s">
        <v>45</v>
      </c>
      <c r="G77" s="9">
        <f t="shared" ref="G77:Q77" si="3">STDEV(G4:G73)</f>
        <v>1.4530372106556111</v>
      </c>
      <c r="H77" s="9">
        <f t="shared" si="3"/>
        <v>4.8806602001953401</v>
      </c>
      <c r="I77" s="9">
        <f t="shared" si="3"/>
        <v>3.3207342885021336</v>
      </c>
      <c r="J77" s="9">
        <f t="shared" si="3"/>
        <v>3.6374336276343402</v>
      </c>
      <c r="K77" s="8">
        <f t="shared" si="3"/>
        <v>0.30416742536216562</v>
      </c>
      <c r="L77" s="10">
        <f t="shared" si="3"/>
        <v>0</v>
      </c>
      <c r="M77" s="9">
        <f t="shared" si="3"/>
        <v>7.254992989221793</v>
      </c>
      <c r="N77" s="9">
        <f t="shared" si="3"/>
        <v>4.8372555153429744</v>
      </c>
      <c r="O77" s="9">
        <f t="shared" si="3"/>
        <v>6.2090606318584047</v>
      </c>
      <c r="P77" s="9">
        <f t="shared" si="3"/>
        <v>3.5760630264256368</v>
      </c>
      <c r="Q77" s="9">
        <f t="shared" si="3"/>
        <v>12.350058761263023</v>
      </c>
    </row>
    <row r="79" spans="1:20" x14ac:dyDescent="0.3">
      <c r="B79" s="1" t="s">
        <v>46</v>
      </c>
      <c r="G79" s="9" t="s">
        <v>47</v>
      </c>
      <c r="H79" s="9" t="s">
        <v>47</v>
      </c>
      <c r="I79" s="9" t="s">
        <v>47</v>
      </c>
      <c r="J79" s="9" t="s">
        <v>47</v>
      </c>
      <c r="K79" s="8" t="s">
        <v>47</v>
      </c>
      <c r="L79" s="10" t="s">
        <v>47</v>
      </c>
      <c r="M79" s="9" t="s">
        <v>47</v>
      </c>
      <c r="N79" s="9" t="s">
        <v>47</v>
      </c>
      <c r="O79" s="9" t="s">
        <v>47</v>
      </c>
      <c r="P79" s="9" t="s">
        <v>47</v>
      </c>
      <c r="Q79" s="9" t="s">
        <v>47</v>
      </c>
    </row>
  </sheetData>
  <autoFilter ref="A3:T77" xr:uid="{B0744280-AB72-4DA8-B745-62C34F376A95}">
    <filterColumn colId="2">
      <filters>
        <filter val="223FG007"/>
      </filters>
    </filterColumn>
    <filterColumn colId="4">
      <filters>
        <filter val="L1 - NBL"/>
        <filter val="L1 APM - BLF"/>
        <filter val="L1 APM - LBFNB"/>
        <filter val="L2 APM - BLFNB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AB42-F455-4610-925B-1587E1AA7B0F}">
  <sheetPr filterMode="1"/>
  <dimension ref="A1:X85"/>
  <sheetViews>
    <sheetView workbookViewId="0">
      <selection activeCell="N95" sqref="N95"/>
    </sheetView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21" width="11.6640625" bestFit="1" customWidth="1"/>
    <col min="22" max="23" width="17.88671875" bestFit="1" customWidth="1"/>
    <col min="24" max="24" width="11.6640625" bestFit="1" customWidth="1"/>
  </cols>
  <sheetData>
    <row r="1" spans="1:24" s="1" customFormat="1" ht="13.8" x14ac:dyDescent="0.25">
      <c r="A1" s="1" t="s">
        <v>0</v>
      </c>
    </row>
    <row r="3" spans="1:24" x14ac:dyDescent="0.3">
      <c r="A3" s="2" t="s">
        <v>1</v>
      </c>
      <c r="B3" s="2" t="s">
        <v>591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592</v>
      </c>
      <c r="N3" s="2" t="s">
        <v>19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593</v>
      </c>
      <c r="V3" s="2" t="s">
        <v>20</v>
      </c>
      <c r="W3" s="2" t="s">
        <v>21</v>
      </c>
      <c r="X3" s="2" t="s">
        <v>22</v>
      </c>
    </row>
    <row r="4" spans="1:24" hidden="1" x14ac:dyDescent="0.3">
      <c r="A4" s="2">
        <v>426</v>
      </c>
      <c r="B4" t="s">
        <v>594</v>
      </c>
      <c r="C4" t="s">
        <v>24</v>
      </c>
      <c r="D4" t="s">
        <v>595</v>
      </c>
      <c r="E4" t="s">
        <v>26</v>
      </c>
      <c r="F4" t="s">
        <v>591</v>
      </c>
      <c r="G4" s="11">
        <v>14.3</v>
      </c>
      <c r="H4" s="11">
        <v>6.1</v>
      </c>
      <c r="I4" s="11">
        <v>3.5</v>
      </c>
      <c r="J4" s="11">
        <v>2.4</v>
      </c>
      <c r="K4" s="7">
        <v>0.9</v>
      </c>
      <c r="L4" s="11">
        <v>68.7</v>
      </c>
      <c r="M4" s="4">
        <v>0.68</v>
      </c>
      <c r="N4" s="4">
        <v>25</v>
      </c>
      <c r="O4" s="11">
        <v>9.8000000000000007</v>
      </c>
      <c r="P4" s="11">
        <v>9.8000000000000007</v>
      </c>
      <c r="Q4" s="11">
        <v>8.9</v>
      </c>
      <c r="R4" s="11">
        <v>1.5</v>
      </c>
      <c r="S4" s="11">
        <v>12.9</v>
      </c>
      <c r="T4" s="11">
        <v>7.4</v>
      </c>
      <c r="U4" s="11">
        <v>0.1</v>
      </c>
      <c r="V4" s="5">
        <v>45972.415821759256</v>
      </c>
      <c r="W4" s="5">
        <v>45972.415983796294</v>
      </c>
      <c r="X4" s="6">
        <v>1.6203703125938773E-4</v>
      </c>
    </row>
    <row r="5" spans="1:24" hidden="1" x14ac:dyDescent="0.3">
      <c r="A5" s="2">
        <v>427</v>
      </c>
      <c r="B5" t="s">
        <v>596</v>
      </c>
      <c r="C5" t="s">
        <v>24</v>
      </c>
      <c r="D5" t="s">
        <v>597</v>
      </c>
      <c r="E5" t="s">
        <v>26</v>
      </c>
      <c r="F5" t="s">
        <v>591</v>
      </c>
      <c r="G5" s="11">
        <v>14.3</v>
      </c>
      <c r="H5" s="11">
        <v>6.4</v>
      </c>
      <c r="I5" s="11">
        <v>3.5</v>
      </c>
      <c r="J5" s="11">
        <v>2.2999999999999998</v>
      </c>
      <c r="K5" s="7">
        <v>0.9</v>
      </c>
      <c r="L5" s="11">
        <v>68.599999999999994</v>
      </c>
      <c r="M5" s="4">
        <v>0.67900000000000005</v>
      </c>
      <c r="N5" s="4">
        <v>25</v>
      </c>
      <c r="O5" s="11">
        <v>10.6</v>
      </c>
      <c r="P5" s="11">
        <v>9.3000000000000007</v>
      </c>
      <c r="Q5" s="11">
        <v>7.9</v>
      </c>
      <c r="R5" s="11">
        <v>1.6</v>
      </c>
      <c r="S5" s="11">
        <v>14.3</v>
      </c>
      <c r="T5" s="11">
        <v>7.2</v>
      </c>
      <c r="U5" s="11">
        <v>0.2</v>
      </c>
      <c r="V5" s="5">
        <v>45972.421307870369</v>
      </c>
      <c r="W5" s="5">
        <v>45972.421631944446</v>
      </c>
      <c r="X5" s="6">
        <v>3.2407406251877546E-4</v>
      </c>
    </row>
    <row r="6" spans="1:24" hidden="1" x14ac:dyDescent="0.3">
      <c r="A6" s="2">
        <v>428</v>
      </c>
      <c r="B6" t="s">
        <v>598</v>
      </c>
      <c r="C6" t="s">
        <v>24</v>
      </c>
      <c r="D6" t="s">
        <v>599</v>
      </c>
      <c r="E6" t="s">
        <v>26</v>
      </c>
      <c r="F6" t="s">
        <v>591</v>
      </c>
      <c r="G6" s="11">
        <v>13.8</v>
      </c>
      <c r="H6" s="11">
        <v>6.5</v>
      </c>
      <c r="I6" s="11">
        <v>3.5</v>
      </c>
      <c r="J6" s="11">
        <v>2.2999999999999998</v>
      </c>
      <c r="K6" s="7">
        <v>0.94</v>
      </c>
      <c r="L6" s="11">
        <v>68</v>
      </c>
      <c r="M6" s="4">
        <v>0.67900000000000005</v>
      </c>
      <c r="N6" s="4">
        <v>25</v>
      </c>
      <c r="O6" s="11">
        <v>6.3</v>
      </c>
      <c r="P6" s="11">
        <v>8.1</v>
      </c>
      <c r="Q6" s="11">
        <v>6.6</v>
      </c>
      <c r="R6" s="11">
        <v>1.5</v>
      </c>
      <c r="S6" s="11">
        <v>12.5</v>
      </c>
      <c r="T6" s="11">
        <v>5.6</v>
      </c>
      <c r="U6" s="11">
        <v>0.4</v>
      </c>
      <c r="V6" s="5">
        <v>45972.421712962961</v>
      </c>
      <c r="W6" s="5">
        <v>45972.4219212963</v>
      </c>
      <c r="X6" s="6">
        <v>1.9675926887430251E-4</v>
      </c>
    </row>
    <row r="7" spans="1:24" hidden="1" x14ac:dyDescent="0.3">
      <c r="A7" s="2">
        <v>429</v>
      </c>
      <c r="B7" t="s">
        <v>600</v>
      </c>
      <c r="C7" t="s">
        <v>24</v>
      </c>
      <c r="D7" t="s">
        <v>601</v>
      </c>
      <c r="E7" t="s">
        <v>26</v>
      </c>
      <c r="F7" t="s">
        <v>591</v>
      </c>
      <c r="G7" s="11">
        <v>14</v>
      </c>
      <c r="H7" s="11">
        <v>6.8</v>
      </c>
      <c r="I7" s="11">
        <v>3.7</v>
      </c>
      <c r="J7" s="11">
        <v>2.4</v>
      </c>
      <c r="K7" s="7">
        <v>1.01</v>
      </c>
      <c r="L7" s="11">
        <v>67.5</v>
      </c>
      <c r="M7" s="4">
        <v>0.66700000000000004</v>
      </c>
      <c r="N7" s="4">
        <v>25</v>
      </c>
      <c r="O7" s="11">
        <v>6.5</v>
      </c>
      <c r="P7" s="11">
        <v>7.7</v>
      </c>
      <c r="Q7" s="11">
        <v>7.2</v>
      </c>
      <c r="R7" s="11">
        <v>3.3</v>
      </c>
      <c r="S7" s="11">
        <v>7.8</v>
      </c>
      <c r="T7" s="11">
        <v>4.0999999999999996</v>
      </c>
      <c r="U7" s="11">
        <v>1.4</v>
      </c>
      <c r="V7" s="5">
        <v>45972.440555555557</v>
      </c>
      <c r="W7" s="5">
        <v>45972.440798611111</v>
      </c>
      <c r="X7" s="6">
        <v>2.430555468890816E-4</v>
      </c>
    </row>
    <row r="8" spans="1:24" hidden="1" x14ac:dyDescent="0.3">
      <c r="A8" s="2">
        <v>430</v>
      </c>
      <c r="B8" t="s">
        <v>602</v>
      </c>
      <c r="C8" t="s">
        <v>24</v>
      </c>
      <c r="D8" t="s">
        <v>597</v>
      </c>
      <c r="E8" t="s">
        <v>26</v>
      </c>
      <c r="F8" t="s">
        <v>591</v>
      </c>
      <c r="G8" s="11">
        <v>14.4</v>
      </c>
      <c r="H8" s="11">
        <v>6.7</v>
      </c>
      <c r="I8" s="11">
        <v>3.3</v>
      </c>
      <c r="J8" s="11">
        <v>2.4</v>
      </c>
      <c r="K8" s="7">
        <v>0.92</v>
      </c>
      <c r="L8" s="11">
        <v>68.2</v>
      </c>
      <c r="M8" s="4">
        <v>0.70799999999999996</v>
      </c>
      <c r="N8" s="4">
        <v>25</v>
      </c>
      <c r="O8" s="11">
        <v>8.1999999999999993</v>
      </c>
      <c r="P8" s="11">
        <v>10.1</v>
      </c>
      <c r="Q8" s="11">
        <v>8.3000000000000007</v>
      </c>
      <c r="R8" s="11">
        <v>5.6</v>
      </c>
      <c r="S8" s="11">
        <v>9.6999999999999993</v>
      </c>
      <c r="T8" s="11">
        <v>6.7</v>
      </c>
      <c r="U8" s="11">
        <v>1.7</v>
      </c>
      <c r="V8" s="5">
        <v>45972.44091435185</v>
      </c>
      <c r="W8" s="5">
        <v>45972.441076388888</v>
      </c>
      <c r="X8" s="6">
        <v>1.6203703125938773E-4</v>
      </c>
    </row>
    <row r="9" spans="1:24" hidden="1" x14ac:dyDescent="0.3">
      <c r="A9" s="2">
        <v>431</v>
      </c>
      <c r="B9" t="s">
        <v>603</v>
      </c>
      <c r="C9" t="s">
        <v>24</v>
      </c>
      <c r="D9" t="s">
        <v>599</v>
      </c>
      <c r="E9" t="s">
        <v>26</v>
      </c>
      <c r="F9" t="s">
        <v>591</v>
      </c>
      <c r="G9" s="11">
        <v>14.5</v>
      </c>
      <c r="H9" s="11">
        <v>6.5</v>
      </c>
      <c r="I9" s="11">
        <v>3.8</v>
      </c>
      <c r="J9" s="11">
        <v>2.5</v>
      </c>
      <c r="K9" s="7">
        <v>0.98</v>
      </c>
      <c r="L9" s="11">
        <v>66.7</v>
      </c>
      <c r="M9" s="4">
        <v>0.66600000000000004</v>
      </c>
      <c r="N9" s="4">
        <v>25</v>
      </c>
      <c r="O9" s="11">
        <v>10.4</v>
      </c>
      <c r="P9" s="11">
        <v>7.7</v>
      </c>
      <c r="Q9" s="11">
        <v>7.9</v>
      </c>
      <c r="R9" s="11">
        <v>4.9000000000000004</v>
      </c>
      <c r="S9" s="11">
        <v>9.3000000000000007</v>
      </c>
      <c r="T9" s="11">
        <v>2.7</v>
      </c>
      <c r="U9" s="11">
        <v>1.1000000000000001</v>
      </c>
      <c r="V9" s="5">
        <v>45972.44121527778</v>
      </c>
      <c r="W9" s="5">
        <v>45972.441342592596</v>
      </c>
      <c r="X9" s="6">
        <v>1.2731482274830341E-4</v>
      </c>
    </row>
    <row r="10" spans="1:24" hidden="1" x14ac:dyDescent="0.3">
      <c r="A10" s="2">
        <v>432</v>
      </c>
      <c r="B10" t="s">
        <v>604</v>
      </c>
      <c r="C10" t="s">
        <v>137</v>
      </c>
      <c r="D10" t="s">
        <v>601</v>
      </c>
      <c r="E10" t="s">
        <v>26</v>
      </c>
      <c r="F10" t="s">
        <v>591</v>
      </c>
      <c r="G10" s="11">
        <v>15.5</v>
      </c>
      <c r="H10" s="11">
        <v>8.9</v>
      </c>
      <c r="I10" s="11">
        <v>3.9</v>
      </c>
      <c r="J10" s="11">
        <v>2.4</v>
      </c>
      <c r="K10" s="7">
        <v>0.16</v>
      </c>
      <c r="L10" s="11">
        <v>61.6</v>
      </c>
      <c r="M10" s="4">
        <v>0.89500000000000002</v>
      </c>
      <c r="N10" s="4">
        <v>25</v>
      </c>
      <c r="O10" s="11">
        <v>46.1</v>
      </c>
      <c r="P10" s="11">
        <v>40.9</v>
      </c>
      <c r="Q10" s="11">
        <v>36</v>
      </c>
      <c r="R10" s="3" t="s">
        <v>68</v>
      </c>
      <c r="S10" s="3" t="s">
        <v>421</v>
      </c>
      <c r="T10" s="11">
        <v>24.1</v>
      </c>
      <c r="U10" s="11">
        <v>10.9</v>
      </c>
      <c r="V10" s="5">
        <v>45972.529861111114</v>
      </c>
      <c r="W10" s="5">
        <v>45972.53</v>
      </c>
      <c r="X10" s="6">
        <v>1.2731482274830341E-4</v>
      </c>
    </row>
    <row r="11" spans="1:24" hidden="1" x14ac:dyDescent="0.3">
      <c r="A11" s="2">
        <v>433</v>
      </c>
      <c r="B11" t="s">
        <v>605</v>
      </c>
      <c r="C11" t="s">
        <v>137</v>
      </c>
      <c r="D11" t="s">
        <v>597</v>
      </c>
      <c r="E11" t="s">
        <v>26</v>
      </c>
      <c r="F11" t="s">
        <v>591</v>
      </c>
      <c r="G11" s="11">
        <v>15.8</v>
      </c>
      <c r="H11" s="11">
        <v>8.9</v>
      </c>
      <c r="I11" s="11">
        <v>3.8</v>
      </c>
      <c r="J11" s="11">
        <v>2.2999999999999998</v>
      </c>
      <c r="K11" s="7">
        <v>0.19</v>
      </c>
      <c r="L11" s="11">
        <v>61.4</v>
      </c>
      <c r="M11" s="4">
        <v>0.89900000000000002</v>
      </c>
      <c r="N11" s="4">
        <v>25</v>
      </c>
      <c r="O11" s="11">
        <v>51.7</v>
      </c>
      <c r="P11" s="11">
        <v>42.9</v>
      </c>
      <c r="Q11" s="11">
        <v>39</v>
      </c>
      <c r="R11" s="11">
        <v>34.799999999999997</v>
      </c>
      <c r="S11" s="3" t="s">
        <v>421</v>
      </c>
      <c r="T11" s="11">
        <v>24</v>
      </c>
      <c r="U11" s="11">
        <v>12.2</v>
      </c>
      <c r="V11" s="5">
        <v>45972.530138888891</v>
      </c>
      <c r="W11" s="5">
        <v>45972.530277777776</v>
      </c>
      <c r="X11" s="6">
        <v>1.5046296175569296E-4</v>
      </c>
    </row>
    <row r="12" spans="1:24" hidden="1" x14ac:dyDescent="0.3">
      <c r="A12" s="2">
        <v>434</v>
      </c>
      <c r="B12" t="s">
        <v>606</v>
      </c>
      <c r="C12" t="s">
        <v>137</v>
      </c>
      <c r="D12" t="s">
        <v>599</v>
      </c>
      <c r="E12" t="s">
        <v>26</v>
      </c>
      <c r="F12" t="s">
        <v>591</v>
      </c>
      <c r="G12" s="11">
        <v>15</v>
      </c>
      <c r="H12" s="11">
        <v>9.1</v>
      </c>
      <c r="I12" s="11">
        <v>4.2</v>
      </c>
      <c r="J12" s="11">
        <v>2.2000000000000002</v>
      </c>
      <c r="K12" s="7">
        <v>0.19</v>
      </c>
      <c r="L12" s="11">
        <v>62.5</v>
      </c>
      <c r="M12" s="4">
        <v>0.9</v>
      </c>
      <c r="N12" s="4">
        <v>25</v>
      </c>
      <c r="O12" s="11">
        <v>41.6</v>
      </c>
      <c r="P12" s="11">
        <v>39.9</v>
      </c>
      <c r="Q12" s="11">
        <v>38.1</v>
      </c>
      <c r="R12" s="11">
        <v>36.9</v>
      </c>
      <c r="S12" s="3" t="s">
        <v>421</v>
      </c>
      <c r="T12" s="11">
        <v>24.2</v>
      </c>
      <c r="U12" s="11">
        <v>13</v>
      </c>
      <c r="V12" s="5">
        <v>45972.530416666668</v>
      </c>
      <c r="W12" s="5">
        <v>45972.530555555553</v>
      </c>
      <c r="X12" s="6">
        <v>1.3888889225199819E-4</v>
      </c>
    </row>
    <row r="13" spans="1:24" hidden="1" x14ac:dyDescent="0.3">
      <c r="A13" s="2">
        <v>435</v>
      </c>
      <c r="B13" t="s">
        <v>607</v>
      </c>
      <c r="C13" t="s">
        <v>137</v>
      </c>
      <c r="D13" t="s">
        <v>601</v>
      </c>
      <c r="E13" t="s">
        <v>26</v>
      </c>
      <c r="F13" t="s">
        <v>591</v>
      </c>
      <c r="G13" s="11">
        <v>14.9</v>
      </c>
      <c r="H13" s="11">
        <v>9.1999999999999993</v>
      </c>
      <c r="I13" s="11">
        <v>4.2</v>
      </c>
      <c r="J13" s="11">
        <v>2.2999999999999998</v>
      </c>
      <c r="K13" s="7">
        <v>0.23</v>
      </c>
      <c r="L13" s="11">
        <v>60.5</v>
      </c>
      <c r="M13" s="4">
        <v>0.90500000000000003</v>
      </c>
      <c r="N13" s="4">
        <v>25</v>
      </c>
      <c r="O13" s="11">
        <v>43.1</v>
      </c>
      <c r="P13" s="11">
        <v>47.5</v>
      </c>
      <c r="Q13" s="11">
        <v>45.1</v>
      </c>
      <c r="R13" s="3" t="s">
        <v>68</v>
      </c>
      <c r="S13" s="3" t="s">
        <v>421</v>
      </c>
      <c r="T13" s="11">
        <v>35.299999999999997</v>
      </c>
      <c r="U13" s="11">
        <v>14.6</v>
      </c>
      <c r="V13" s="5">
        <v>45972.576909722222</v>
      </c>
      <c r="W13" s="5">
        <v>45972.577037037037</v>
      </c>
      <c r="X13" s="6">
        <v>1.2731482274830341E-4</v>
      </c>
    </row>
    <row r="14" spans="1:24" hidden="1" x14ac:dyDescent="0.3">
      <c r="A14" s="2">
        <v>436</v>
      </c>
      <c r="B14" t="s">
        <v>608</v>
      </c>
      <c r="C14" t="s">
        <v>137</v>
      </c>
      <c r="D14" t="s">
        <v>597</v>
      </c>
      <c r="E14" t="s">
        <v>26</v>
      </c>
      <c r="F14" t="s">
        <v>591</v>
      </c>
      <c r="G14" s="11">
        <v>15.5</v>
      </c>
      <c r="H14" s="11">
        <v>9.1999999999999993</v>
      </c>
      <c r="I14" s="11">
        <v>4</v>
      </c>
      <c r="J14" s="11">
        <v>2.2999999999999998</v>
      </c>
      <c r="K14" s="7">
        <v>0.03</v>
      </c>
      <c r="L14" s="11">
        <v>60.8</v>
      </c>
      <c r="M14" s="4">
        <v>0.90200000000000002</v>
      </c>
      <c r="N14" s="4">
        <v>25</v>
      </c>
      <c r="O14" s="11">
        <v>45.1</v>
      </c>
      <c r="P14" s="11">
        <v>41.6</v>
      </c>
      <c r="Q14" s="11">
        <v>40.1</v>
      </c>
      <c r="R14" s="3" t="s">
        <v>68</v>
      </c>
      <c r="S14" s="3" t="s">
        <v>421</v>
      </c>
      <c r="T14" s="11">
        <v>32.299999999999997</v>
      </c>
      <c r="U14" s="11">
        <v>13.6</v>
      </c>
      <c r="V14" s="5">
        <v>45972.577210648145</v>
      </c>
      <c r="W14" s="5">
        <v>45972.577337962961</v>
      </c>
      <c r="X14" s="6">
        <v>1.2731482274830341E-4</v>
      </c>
    </row>
    <row r="15" spans="1:24" hidden="1" x14ac:dyDescent="0.3">
      <c r="A15" s="2">
        <v>437</v>
      </c>
      <c r="B15" t="s">
        <v>609</v>
      </c>
      <c r="C15" t="s">
        <v>137</v>
      </c>
      <c r="D15" t="s">
        <v>599</v>
      </c>
      <c r="E15" t="s">
        <v>26</v>
      </c>
      <c r="F15" t="s">
        <v>591</v>
      </c>
      <c r="G15" s="11">
        <v>15.5</v>
      </c>
      <c r="H15" s="11">
        <v>9.1</v>
      </c>
      <c r="I15" s="11">
        <v>4</v>
      </c>
      <c r="J15" s="11">
        <v>2.4</v>
      </c>
      <c r="K15" s="7">
        <v>0.03</v>
      </c>
      <c r="L15" s="11">
        <v>60.1</v>
      </c>
      <c r="M15" s="4">
        <v>0.93899999999999995</v>
      </c>
      <c r="N15" s="4">
        <v>25</v>
      </c>
      <c r="O15" s="11">
        <v>48.1</v>
      </c>
      <c r="P15" s="11">
        <v>54.8</v>
      </c>
      <c r="Q15" s="11">
        <v>48.6</v>
      </c>
      <c r="R15" s="3" t="s">
        <v>68</v>
      </c>
      <c r="S15" s="3" t="s">
        <v>421</v>
      </c>
      <c r="T15" s="11">
        <v>48.3</v>
      </c>
      <c r="U15" s="11">
        <v>23.2</v>
      </c>
      <c r="V15" s="5">
        <v>45972.577476851853</v>
      </c>
      <c r="W15" s="5">
        <v>45972.577604166669</v>
      </c>
      <c r="X15" s="6">
        <v>1.2731482274830341E-4</v>
      </c>
    </row>
    <row r="16" spans="1:24" hidden="1" x14ac:dyDescent="0.3">
      <c r="A16" s="2">
        <v>438</v>
      </c>
      <c r="B16" t="s">
        <v>610</v>
      </c>
      <c r="C16" t="s">
        <v>24</v>
      </c>
      <c r="D16" t="s">
        <v>601</v>
      </c>
      <c r="E16" t="s">
        <v>26</v>
      </c>
      <c r="F16" t="s">
        <v>591</v>
      </c>
      <c r="G16" s="11">
        <v>14.1</v>
      </c>
      <c r="H16" s="11">
        <v>6.6</v>
      </c>
      <c r="I16" s="11">
        <v>3.6</v>
      </c>
      <c r="J16" s="11">
        <v>2.5</v>
      </c>
      <c r="K16" s="7">
        <v>0.94</v>
      </c>
      <c r="L16" s="11">
        <v>68.5</v>
      </c>
      <c r="M16" s="4">
        <v>0.69099999999999995</v>
      </c>
      <c r="N16" s="4">
        <v>25</v>
      </c>
      <c r="O16" s="11">
        <v>6.5</v>
      </c>
      <c r="P16" s="11">
        <v>9.6999999999999993</v>
      </c>
      <c r="Q16" s="11">
        <v>11.5</v>
      </c>
      <c r="R16" s="11">
        <v>4.5</v>
      </c>
      <c r="S16" s="11">
        <v>9</v>
      </c>
      <c r="T16" s="11">
        <v>7.8</v>
      </c>
      <c r="U16" s="11">
        <v>1.5</v>
      </c>
      <c r="V16" s="5">
        <v>45972.604560185187</v>
      </c>
      <c r="W16" s="5">
        <v>45972.604675925926</v>
      </c>
      <c r="X16" s="6">
        <v>1.1574075324460864E-4</v>
      </c>
    </row>
    <row r="17" spans="1:24" hidden="1" x14ac:dyDescent="0.3">
      <c r="A17" s="2">
        <v>439</v>
      </c>
      <c r="B17" t="s">
        <v>611</v>
      </c>
      <c r="C17" t="s">
        <v>24</v>
      </c>
      <c r="D17" t="s">
        <v>597</v>
      </c>
      <c r="E17" t="s">
        <v>26</v>
      </c>
      <c r="F17" t="s">
        <v>591</v>
      </c>
      <c r="G17" s="11">
        <v>14.6</v>
      </c>
      <c r="H17" s="11">
        <v>6.1</v>
      </c>
      <c r="I17" s="11">
        <v>3.6</v>
      </c>
      <c r="J17" s="11">
        <v>2.5</v>
      </c>
      <c r="K17" s="7">
        <v>0.86</v>
      </c>
      <c r="L17" s="11">
        <v>68.8</v>
      </c>
      <c r="M17" s="4">
        <v>0.70099999999999996</v>
      </c>
      <c r="N17" s="4">
        <v>25</v>
      </c>
      <c r="O17" s="11">
        <v>12.5</v>
      </c>
      <c r="P17" s="11">
        <v>10.4</v>
      </c>
      <c r="Q17" s="11">
        <v>16.8</v>
      </c>
      <c r="R17" s="11">
        <v>5.6</v>
      </c>
      <c r="S17" s="11">
        <v>10.8</v>
      </c>
      <c r="T17" s="11">
        <v>8.8000000000000007</v>
      </c>
      <c r="U17" s="11">
        <v>0.4</v>
      </c>
      <c r="V17" s="5">
        <v>45972.604803240742</v>
      </c>
      <c r="W17" s="5">
        <v>45972.604930555557</v>
      </c>
      <c r="X17" s="6">
        <v>1.1574075324460864E-4</v>
      </c>
    </row>
    <row r="18" spans="1:24" hidden="1" x14ac:dyDescent="0.3">
      <c r="A18" s="2">
        <v>440</v>
      </c>
      <c r="B18" t="s">
        <v>612</v>
      </c>
      <c r="C18" t="s">
        <v>24</v>
      </c>
      <c r="D18" t="s">
        <v>599</v>
      </c>
      <c r="E18" t="s">
        <v>26</v>
      </c>
      <c r="F18" t="s">
        <v>591</v>
      </c>
      <c r="G18" s="11">
        <v>14.2</v>
      </c>
      <c r="H18" s="11">
        <v>6.6</v>
      </c>
      <c r="I18" s="11">
        <v>3.9</v>
      </c>
      <c r="J18" s="11">
        <v>2.6</v>
      </c>
      <c r="K18" s="7">
        <v>0.96</v>
      </c>
      <c r="L18" s="11">
        <v>67.7</v>
      </c>
      <c r="M18" s="4">
        <v>0.65500000000000003</v>
      </c>
      <c r="N18" s="4">
        <v>25</v>
      </c>
      <c r="O18" s="11">
        <v>9.5</v>
      </c>
      <c r="P18" s="11">
        <v>12.7</v>
      </c>
      <c r="Q18" s="11">
        <v>11.5</v>
      </c>
      <c r="R18" s="11">
        <v>5.4</v>
      </c>
      <c r="S18" s="11">
        <v>14.2</v>
      </c>
      <c r="T18" s="11">
        <v>6.3</v>
      </c>
      <c r="U18" s="11">
        <v>1.1000000000000001</v>
      </c>
      <c r="V18" s="5">
        <v>45972.605034722219</v>
      </c>
      <c r="W18" s="5">
        <v>45972.605150462965</v>
      </c>
      <c r="X18" s="6">
        <v>1.1574075324460864E-4</v>
      </c>
    </row>
    <row r="19" spans="1:24" hidden="1" x14ac:dyDescent="0.3">
      <c r="A19" s="2">
        <v>441</v>
      </c>
      <c r="B19" t="s">
        <v>613</v>
      </c>
      <c r="C19" t="s">
        <v>24</v>
      </c>
      <c r="D19" t="s">
        <v>595</v>
      </c>
      <c r="E19" t="s">
        <v>26</v>
      </c>
      <c r="F19" t="s">
        <v>591</v>
      </c>
      <c r="G19" s="11">
        <v>14</v>
      </c>
      <c r="H19" s="11">
        <v>6.4</v>
      </c>
      <c r="I19" s="11">
        <v>3.2</v>
      </c>
      <c r="J19" s="11">
        <v>2.5</v>
      </c>
      <c r="K19" s="7">
        <v>0.95</v>
      </c>
      <c r="L19" s="11">
        <v>67.900000000000006</v>
      </c>
      <c r="M19" s="4">
        <v>0.64400000000000002</v>
      </c>
      <c r="N19" s="4">
        <v>25</v>
      </c>
      <c r="O19" s="11">
        <v>8.4</v>
      </c>
      <c r="P19" s="11">
        <v>5.6</v>
      </c>
      <c r="Q19" s="11">
        <v>4.5999999999999996</v>
      </c>
      <c r="R19" s="11">
        <v>1.3</v>
      </c>
      <c r="S19" s="11">
        <v>9.1999999999999993</v>
      </c>
      <c r="T19" s="11">
        <v>6.2</v>
      </c>
      <c r="U19" s="11">
        <v>1.4</v>
      </c>
      <c r="V19" s="5">
        <v>45972.681226851855</v>
      </c>
      <c r="W19" s="5">
        <v>45972.681481481479</v>
      </c>
      <c r="X19" s="6">
        <v>2.430555468890816E-4</v>
      </c>
    </row>
    <row r="20" spans="1:24" hidden="1" x14ac:dyDescent="0.3">
      <c r="A20" s="2">
        <v>442</v>
      </c>
      <c r="B20" t="s">
        <v>614</v>
      </c>
      <c r="C20" t="s">
        <v>24</v>
      </c>
      <c r="D20" t="s">
        <v>595</v>
      </c>
      <c r="E20" t="s">
        <v>26</v>
      </c>
      <c r="F20" t="s">
        <v>591</v>
      </c>
      <c r="G20" s="11">
        <v>13.9</v>
      </c>
      <c r="H20" s="11">
        <v>6.4</v>
      </c>
      <c r="I20" s="11">
        <v>3.3</v>
      </c>
      <c r="J20" s="11">
        <v>2.5</v>
      </c>
      <c r="K20" s="7">
        <v>0.95</v>
      </c>
      <c r="L20" s="11">
        <v>68.099999999999994</v>
      </c>
      <c r="M20" s="4">
        <v>0.66400000000000003</v>
      </c>
      <c r="N20" s="4">
        <v>25</v>
      </c>
      <c r="O20" s="11">
        <v>7</v>
      </c>
      <c r="P20" s="11">
        <v>6.4</v>
      </c>
      <c r="Q20" s="11">
        <v>4.3</v>
      </c>
      <c r="R20" s="11">
        <v>1.2</v>
      </c>
      <c r="S20" s="11">
        <v>9.3000000000000007</v>
      </c>
      <c r="T20" s="11">
        <v>6.3</v>
      </c>
      <c r="U20" s="11">
        <v>0.8</v>
      </c>
      <c r="V20" s="5">
        <v>45972.681562500002</v>
      </c>
      <c r="W20" s="5">
        <v>45972.68167824074</v>
      </c>
      <c r="X20" s="6">
        <v>1.1574075324460864E-4</v>
      </c>
    </row>
    <row r="21" spans="1:24" hidden="1" x14ac:dyDescent="0.3">
      <c r="A21" s="2">
        <v>443</v>
      </c>
      <c r="B21" t="s">
        <v>615</v>
      </c>
      <c r="C21" t="s">
        <v>24</v>
      </c>
      <c r="D21" t="s">
        <v>595</v>
      </c>
      <c r="E21" t="s">
        <v>26</v>
      </c>
      <c r="F21" t="s">
        <v>591</v>
      </c>
      <c r="G21" s="11">
        <v>13.9</v>
      </c>
      <c r="H21" s="11">
        <v>6.5</v>
      </c>
      <c r="I21" s="11">
        <v>3.4</v>
      </c>
      <c r="J21" s="11">
        <v>2.5</v>
      </c>
      <c r="K21" s="7">
        <v>1.07</v>
      </c>
      <c r="L21" s="11">
        <v>67.7</v>
      </c>
      <c r="M21" s="4">
        <v>0.65100000000000002</v>
      </c>
      <c r="N21" s="4">
        <v>25</v>
      </c>
      <c r="O21" s="11">
        <v>6.3</v>
      </c>
      <c r="P21" s="11">
        <v>5.7</v>
      </c>
      <c r="Q21" s="11">
        <v>4.5</v>
      </c>
      <c r="R21" s="11">
        <v>1.9</v>
      </c>
      <c r="S21" s="11">
        <v>7.1</v>
      </c>
      <c r="T21" s="11">
        <v>5.4</v>
      </c>
      <c r="U21" s="11">
        <v>1.9</v>
      </c>
      <c r="V21" s="5">
        <v>45972.686597222222</v>
      </c>
      <c r="W21" s="5">
        <v>45972.686759259261</v>
      </c>
      <c r="X21" s="6">
        <v>1.6203703125938773E-4</v>
      </c>
    </row>
    <row r="22" spans="1:24" hidden="1" x14ac:dyDescent="0.3">
      <c r="A22" s="2">
        <v>444</v>
      </c>
      <c r="B22" t="s">
        <v>616</v>
      </c>
      <c r="C22" t="s">
        <v>24</v>
      </c>
      <c r="D22" t="s">
        <v>595</v>
      </c>
      <c r="E22" t="s">
        <v>26</v>
      </c>
      <c r="F22" t="s">
        <v>591</v>
      </c>
      <c r="G22" s="11">
        <v>13.9</v>
      </c>
      <c r="H22" s="11">
        <v>6.6</v>
      </c>
      <c r="I22" s="11">
        <v>3.7</v>
      </c>
      <c r="J22" s="11">
        <v>2.7</v>
      </c>
      <c r="K22" s="7">
        <v>1.03</v>
      </c>
      <c r="L22" s="11">
        <v>67.3</v>
      </c>
      <c r="M22" s="4">
        <v>0.65200000000000002</v>
      </c>
      <c r="N22" s="4">
        <v>25</v>
      </c>
      <c r="O22" s="11">
        <v>7.1</v>
      </c>
      <c r="P22" s="11">
        <v>6</v>
      </c>
      <c r="Q22" s="11">
        <v>6.8</v>
      </c>
      <c r="R22" s="11">
        <v>3.2</v>
      </c>
      <c r="S22" s="11">
        <v>7.1</v>
      </c>
      <c r="T22" s="11">
        <v>4.0999999999999996</v>
      </c>
      <c r="U22" s="11">
        <v>1.8</v>
      </c>
      <c r="V22" s="5">
        <v>45972.686851851853</v>
      </c>
      <c r="W22" s="5">
        <v>45972.686967592592</v>
      </c>
      <c r="X22" s="6">
        <v>1.1574075324460864E-4</v>
      </c>
    </row>
    <row r="23" spans="1:24" hidden="1" x14ac:dyDescent="0.3">
      <c r="A23" s="2">
        <v>445</v>
      </c>
      <c r="B23" t="s">
        <v>617</v>
      </c>
      <c r="C23" t="s">
        <v>24</v>
      </c>
      <c r="D23" t="s">
        <v>595</v>
      </c>
      <c r="E23" t="s">
        <v>26</v>
      </c>
      <c r="F23" t="s">
        <v>591</v>
      </c>
      <c r="G23" s="11">
        <v>14</v>
      </c>
      <c r="H23" s="11">
        <v>6.4</v>
      </c>
      <c r="I23" s="11">
        <v>3.4</v>
      </c>
      <c r="J23" s="11">
        <v>2.5</v>
      </c>
      <c r="K23" s="7">
        <v>1.01</v>
      </c>
      <c r="L23" s="11">
        <v>68.2</v>
      </c>
      <c r="M23" s="4">
        <v>0.69099999999999995</v>
      </c>
      <c r="N23" s="4">
        <v>25</v>
      </c>
      <c r="O23" s="11">
        <v>6.6</v>
      </c>
      <c r="P23" s="11">
        <v>8.6</v>
      </c>
      <c r="Q23" s="11">
        <v>8.8000000000000007</v>
      </c>
      <c r="R23" s="11">
        <v>5.6</v>
      </c>
      <c r="S23" s="11">
        <v>7.5</v>
      </c>
      <c r="T23" s="11">
        <v>7.2</v>
      </c>
      <c r="U23" s="11">
        <v>3</v>
      </c>
      <c r="V23" s="5">
        <v>45973.387094907404</v>
      </c>
      <c r="W23" s="5">
        <v>45973.38726851852</v>
      </c>
      <c r="X23" s="6">
        <v>1.736111007630825E-4</v>
      </c>
    </row>
    <row r="24" spans="1:24" hidden="1" x14ac:dyDescent="0.3">
      <c r="A24" s="2">
        <v>446</v>
      </c>
      <c r="B24" t="s">
        <v>618</v>
      </c>
      <c r="C24" t="s">
        <v>24</v>
      </c>
      <c r="D24" t="s">
        <v>595</v>
      </c>
      <c r="E24" t="s">
        <v>26</v>
      </c>
      <c r="F24" t="s">
        <v>591</v>
      </c>
      <c r="G24" s="11">
        <v>14</v>
      </c>
      <c r="H24" s="11">
        <v>6.5</v>
      </c>
      <c r="I24" s="11">
        <v>3.5</v>
      </c>
      <c r="J24" s="11">
        <v>2.5</v>
      </c>
      <c r="K24" s="7">
        <v>0.99</v>
      </c>
      <c r="L24" s="11">
        <v>67.8</v>
      </c>
      <c r="M24" s="4">
        <v>0.67400000000000004</v>
      </c>
      <c r="N24" s="4">
        <v>25</v>
      </c>
      <c r="O24" s="11">
        <v>6.2</v>
      </c>
      <c r="P24" s="11">
        <v>7.4</v>
      </c>
      <c r="Q24" s="11">
        <v>6.7</v>
      </c>
      <c r="R24" s="11">
        <v>2.4</v>
      </c>
      <c r="S24" s="11">
        <v>7.2</v>
      </c>
      <c r="T24" s="11">
        <v>4.8</v>
      </c>
      <c r="U24" s="11">
        <v>1.2</v>
      </c>
      <c r="V24" s="5">
        <v>45973.387384259258</v>
      </c>
      <c r="W24" s="5">
        <v>45973.387557870374</v>
      </c>
      <c r="X24" s="6">
        <v>1.736111007630825E-4</v>
      </c>
    </row>
    <row r="25" spans="1:24" hidden="1" x14ac:dyDescent="0.3">
      <c r="A25" s="2">
        <v>447</v>
      </c>
      <c r="B25" t="s">
        <v>619</v>
      </c>
      <c r="C25" t="s">
        <v>24</v>
      </c>
      <c r="D25" t="s">
        <v>595</v>
      </c>
      <c r="E25" t="s">
        <v>286</v>
      </c>
      <c r="F25" t="s">
        <v>591</v>
      </c>
      <c r="G25" s="11">
        <v>14.2</v>
      </c>
      <c r="H25" s="11">
        <v>6.8</v>
      </c>
      <c r="I25" s="11">
        <v>3.6</v>
      </c>
      <c r="J25" s="11">
        <v>2.5</v>
      </c>
      <c r="K25" s="7">
        <v>0.98</v>
      </c>
      <c r="L25" s="11">
        <v>67.400000000000006</v>
      </c>
      <c r="M25" s="4">
        <v>0.70699999999999996</v>
      </c>
      <c r="N25" s="4">
        <v>25</v>
      </c>
      <c r="O25" s="11">
        <v>8.1</v>
      </c>
      <c r="P25" s="11">
        <v>9.6999999999999993</v>
      </c>
      <c r="Q25" s="11">
        <v>10.8</v>
      </c>
      <c r="R25" s="11">
        <v>7.4</v>
      </c>
      <c r="S25" s="11">
        <v>7.8</v>
      </c>
      <c r="T25" s="11">
        <v>6.1</v>
      </c>
      <c r="U25" s="11">
        <v>2.9</v>
      </c>
      <c r="V25" s="5">
        <v>45973.404004629629</v>
      </c>
      <c r="W25" s="5">
        <v>45973.404178240744</v>
      </c>
      <c r="X25" s="6">
        <v>1.736111007630825E-4</v>
      </c>
    </row>
    <row r="26" spans="1:24" hidden="1" x14ac:dyDescent="0.3">
      <c r="A26" s="2">
        <v>448</v>
      </c>
      <c r="B26" t="s">
        <v>620</v>
      </c>
      <c r="C26" t="s">
        <v>24</v>
      </c>
      <c r="D26" t="s">
        <v>595</v>
      </c>
      <c r="E26" t="s">
        <v>286</v>
      </c>
      <c r="F26" t="s">
        <v>591</v>
      </c>
      <c r="G26" s="11">
        <v>14.2</v>
      </c>
      <c r="H26" s="11">
        <v>6.6</v>
      </c>
      <c r="I26" s="11">
        <v>3.8</v>
      </c>
      <c r="J26" s="11">
        <v>2.5</v>
      </c>
      <c r="K26" s="7">
        <v>1.05</v>
      </c>
      <c r="L26" s="11">
        <v>66.900000000000006</v>
      </c>
      <c r="M26" s="4">
        <v>0.64600000000000002</v>
      </c>
      <c r="N26" s="4">
        <v>25</v>
      </c>
      <c r="O26" s="11">
        <v>10.8</v>
      </c>
      <c r="P26" s="11">
        <v>7.3</v>
      </c>
      <c r="Q26" s="11">
        <v>8.3000000000000007</v>
      </c>
      <c r="R26" s="11">
        <v>4.7</v>
      </c>
      <c r="S26" s="11">
        <v>8.6999999999999993</v>
      </c>
      <c r="T26" s="11">
        <v>3.3</v>
      </c>
      <c r="U26" s="11">
        <v>1.8</v>
      </c>
      <c r="V26" s="5">
        <v>45973.40425925926</v>
      </c>
      <c r="W26" s="5">
        <v>45973.404398148145</v>
      </c>
      <c r="X26" s="6">
        <v>1.3888889225199819E-4</v>
      </c>
    </row>
    <row r="27" spans="1:24" hidden="1" x14ac:dyDescent="0.3">
      <c r="A27" s="2">
        <v>449</v>
      </c>
      <c r="B27" t="s">
        <v>621</v>
      </c>
      <c r="C27" t="s">
        <v>24</v>
      </c>
      <c r="D27" t="s">
        <v>595</v>
      </c>
      <c r="E27" t="s">
        <v>26</v>
      </c>
      <c r="F27" t="s">
        <v>591</v>
      </c>
      <c r="G27" s="11">
        <v>13.8</v>
      </c>
      <c r="H27" s="11">
        <v>6.4</v>
      </c>
      <c r="I27" s="11">
        <v>3.6</v>
      </c>
      <c r="J27" s="11">
        <v>2.5</v>
      </c>
      <c r="K27" s="7">
        <v>0.93</v>
      </c>
      <c r="L27" s="11">
        <v>67.900000000000006</v>
      </c>
      <c r="M27" s="4">
        <v>0.64</v>
      </c>
      <c r="N27" s="4">
        <v>25</v>
      </c>
      <c r="O27" s="11">
        <v>8.8000000000000007</v>
      </c>
      <c r="P27" s="11">
        <v>10.1</v>
      </c>
      <c r="Q27" s="11">
        <v>7.1</v>
      </c>
      <c r="R27" s="11">
        <v>1.6</v>
      </c>
      <c r="S27" s="11">
        <v>13.5</v>
      </c>
      <c r="T27" s="11">
        <v>6.1</v>
      </c>
      <c r="U27" s="11">
        <v>0.7</v>
      </c>
      <c r="V27" s="5">
        <v>45973.422858796293</v>
      </c>
      <c r="W27" s="5">
        <v>45973.422986111109</v>
      </c>
      <c r="X27" s="6">
        <v>1.3888889225199819E-4</v>
      </c>
    </row>
    <row r="28" spans="1:24" hidden="1" x14ac:dyDescent="0.3">
      <c r="A28" s="2">
        <v>450</v>
      </c>
      <c r="B28" t="s">
        <v>622</v>
      </c>
      <c r="C28" t="s">
        <v>24</v>
      </c>
      <c r="D28" t="s">
        <v>595</v>
      </c>
      <c r="E28" t="s">
        <v>26</v>
      </c>
      <c r="F28" t="s">
        <v>591</v>
      </c>
      <c r="G28" s="11">
        <v>13.8</v>
      </c>
      <c r="H28" s="11">
        <v>6.1</v>
      </c>
      <c r="I28" s="11">
        <v>3.6</v>
      </c>
      <c r="J28" s="11">
        <v>2.4</v>
      </c>
      <c r="K28" s="7">
        <v>0.97</v>
      </c>
      <c r="L28" s="11">
        <v>68.599999999999994</v>
      </c>
      <c r="M28" s="4">
        <v>0.65800000000000003</v>
      </c>
      <c r="N28" s="4">
        <v>25</v>
      </c>
      <c r="O28" s="11">
        <v>8</v>
      </c>
      <c r="P28" s="11">
        <v>10.4</v>
      </c>
      <c r="Q28" s="11">
        <v>7.4</v>
      </c>
      <c r="R28" s="11">
        <v>1.4</v>
      </c>
      <c r="S28" s="11">
        <v>14.9</v>
      </c>
      <c r="T28" s="11">
        <v>7.6</v>
      </c>
      <c r="U28" s="11">
        <v>1.4</v>
      </c>
      <c r="V28" s="5">
        <v>45973.423148148147</v>
      </c>
      <c r="W28" s="5">
        <v>45973.423275462963</v>
      </c>
      <c r="X28" s="6">
        <v>1.3888889225199819E-4</v>
      </c>
    </row>
    <row r="29" spans="1:24" hidden="1" x14ac:dyDescent="0.3">
      <c r="A29" s="2">
        <v>451</v>
      </c>
      <c r="B29" t="s">
        <v>623</v>
      </c>
      <c r="C29" t="s">
        <v>24</v>
      </c>
      <c r="D29" t="s">
        <v>595</v>
      </c>
      <c r="E29" t="s">
        <v>345</v>
      </c>
      <c r="F29" t="s">
        <v>591</v>
      </c>
      <c r="G29" s="11">
        <v>14</v>
      </c>
      <c r="H29" s="11">
        <v>6.2</v>
      </c>
      <c r="I29" s="11">
        <v>3.6</v>
      </c>
      <c r="J29" s="11">
        <v>2.5</v>
      </c>
      <c r="K29" s="7">
        <v>0.86</v>
      </c>
      <c r="L29" s="11">
        <v>68.7</v>
      </c>
      <c r="M29" s="4">
        <v>0.65800000000000003</v>
      </c>
      <c r="N29" s="4">
        <v>25</v>
      </c>
      <c r="O29" s="11">
        <v>10.4</v>
      </c>
      <c r="P29" s="11">
        <v>12.1</v>
      </c>
      <c r="Q29" s="11">
        <v>8.1999999999999993</v>
      </c>
      <c r="R29" s="11">
        <v>1.7</v>
      </c>
      <c r="S29" s="11">
        <v>16</v>
      </c>
      <c r="T29" s="11">
        <v>7.7</v>
      </c>
      <c r="U29" s="11">
        <v>0.6</v>
      </c>
      <c r="V29" s="5">
        <v>45973.515381944446</v>
      </c>
      <c r="W29" s="5">
        <v>45973.515590277777</v>
      </c>
      <c r="X29" s="6">
        <v>2.0833333837799728E-4</v>
      </c>
    </row>
    <row r="30" spans="1:24" hidden="1" x14ac:dyDescent="0.3">
      <c r="A30" s="2">
        <v>452</v>
      </c>
      <c r="B30" t="s">
        <v>624</v>
      </c>
      <c r="C30" t="s">
        <v>24</v>
      </c>
      <c r="D30" t="s">
        <v>595</v>
      </c>
      <c r="E30" t="s">
        <v>345</v>
      </c>
      <c r="F30" t="s">
        <v>591</v>
      </c>
      <c r="G30" s="11">
        <v>13.7</v>
      </c>
      <c r="H30" s="11">
        <v>6.4</v>
      </c>
      <c r="I30" s="11">
        <v>3.6</v>
      </c>
      <c r="J30" s="11">
        <v>2.5</v>
      </c>
      <c r="K30" s="7">
        <v>0.91</v>
      </c>
      <c r="L30" s="11">
        <v>68.400000000000006</v>
      </c>
      <c r="M30" s="4">
        <v>0.66100000000000003</v>
      </c>
      <c r="N30" s="4">
        <v>25</v>
      </c>
      <c r="O30" s="11">
        <v>7.9</v>
      </c>
      <c r="P30" s="11">
        <v>10</v>
      </c>
      <c r="Q30" s="11">
        <v>7.2</v>
      </c>
      <c r="R30" s="11">
        <v>2.6</v>
      </c>
      <c r="S30" s="11">
        <v>14.5</v>
      </c>
      <c r="T30" s="11">
        <v>7.6</v>
      </c>
      <c r="U30" s="11">
        <v>1.4</v>
      </c>
      <c r="V30" s="5">
        <v>45973.515752314815</v>
      </c>
      <c r="W30" s="5">
        <v>45973.515925925924</v>
      </c>
      <c r="X30" s="6">
        <v>1.736111007630825E-4</v>
      </c>
    </row>
    <row r="31" spans="1:24" hidden="1" x14ac:dyDescent="0.3">
      <c r="A31" s="2">
        <v>453</v>
      </c>
      <c r="B31" t="s">
        <v>625</v>
      </c>
      <c r="C31" t="s">
        <v>24</v>
      </c>
      <c r="D31" t="s">
        <v>595</v>
      </c>
      <c r="E31" t="s">
        <v>348</v>
      </c>
      <c r="F31" t="s">
        <v>591</v>
      </c>
      <c r="G31" s="11">
        <v>14.2</v>
      </c>
      <c r="H31" s="11">
        <v>6.1</v>
      </c>
      <c r="I31" s="11">
        <v>3.6</v>
      </c>
      <c r="J31" s="11">
        <v>2.4</v>
      </c>
      <c r="K31" s="7">
        <v>0.9</v>
      </c>
      <c r="L31" s="11">
        <v>68.8</v>
      </c>
      <c r="M31" s="4">
        <v>0.66200000000000003</v>
      </c>
      <c r="N31" s="4">
        <v>25</v>
      </c>
      <c r="O31" s="11">
        <v>13.1</v>
      </c>
      <c r="P31" s="11">
        <v>11.4</v>
      </c>
      <c r="Q31" s="11">
        <v>7.9</v>
      </c>
      <c r="R31" s="11">
        <v>2.1</v>
      </c>
      <c r="S31" s="11">
        <v>17.3</v>
      </c>
      <c r="T31" s="11">
        <v>9.6</v>
      </c>
      <c r="U31" s="11">
        <v>3.7</v>
      </c>
      <c r="V31" s="5">
        <v>45973.519189814811</v>
      </c>
      <c r="W31" s="5">
        <v>45973.519479166665</v>
      </c>
      <c r="X31" s="6">
        <v>2.8935185400769114E-4</v>
      </c>
    </row>
    <row r="32" spans="1:24" hidden="1" x14ac:dyDescent="0.3">
      <c r="A32" s="2">
        <v>454</v>
      </c>
      <c r="B32" t="s">
        <v>626</v>
      </c>
      <c r="C32" t="s">
        <v>24</v>
      </c>
      <c r="D32" t="s">
        <v>595</v>
      </c>
      <c r="E32" t="s">
        <v>348</v>
      </c>
      <c r="F32" t="s">
        <v>591</v>
      </c>
      <c r="G32" s="11">
        <v>14</v>
      </c>
      <c r="H32" s="11">
        <v>6.3</v>
      </c>
      <c r="I32" s="11">
        <v>3.5</v>
      </c>
      <c r="J32" s="11">
        <v>2.4</v>
      </c>
      <c r="K32" s="7">
        <v>0.91</v>
      </c>
      <c r="L32" s="11">
        <v>68.8</v>
      </c>
      <c r="M32" s="4">
        <v>0.67600000000000005</v>
      </c>
      <c r="N32" s="4">
        <v>25</v>
      </c>
      <c r="O32" s="11">
        <v>11.7</v>
      </c>
      <c r="P32" s="11">
        <v>10.7</v>
      </c>
      <c r="Q32" s="11">
        <v>7.6</v>
      </c>
      <c r="R32" s="11">
        <v>3.7</v>
      </c>
      <c r="S32" s="11">
        <v>14.9</v>
      </c>
      <c r="T32" s="11">
        <v>10.6</v>
      </c>
      <c r="U32" s="11">
        <v>1.4</v>
      </c>
      <c r="V32" s="5">
        <v>45973.519594907404</v>
      </c>
      <c r="W32" s="5">
        <v>45973.519768518519</v>
      </c>
      <c r="X32" s="6">
        <v>1.8518519937060773E-4</v>
      </c>
    </row>
    <row r="33" spans="1:24" hidden="1" x14ac:dyDescent="0.3">
      <c r="A33" s="2">
        <v>455</v>
      </c>
      <c r="B33" t="s">
        <v>627</v>
      </c>
      <c r="C33" t="s">
        <v>24</v>
      </c>
      <c r="D33" t="s">
        <v>628</v>
      </c>
      <c r="E33" t="s">
        <v>348</v>
      </c>
      <c r="F33" t="s">
        <v>591</v>
      </c>
      <c r="G33" s="11">
        <v>14.1</v>
      </c>
      <c r="H33" s="11">
        <v>6.2</v>
      </c>
      <c r="I33" s="11">
        <v>3.5</v>
      </c>
      <c r="J33" s="11">
        <v>2.4</v>
      </c>
      <c r="K33" s="7">
        <v>0.94</v>
      </c>
      <c r="L33" s="11">
        <v>69.099999999999994</v>
      </c>
      <c r="M33" s="4">
        <v>0.67200000000000004</v>
      </c>
      <c r="N33" s="4">
        <v>25</v>
      </c>
      <c r="O33" s="11">
        <v>13</v>
      </c>
      <c r="P33" s="11">
        <v>12.4</v>
      </c>
      <c r="Q33" s="11">
        <v>8.6</v>
      </c>
      <c r="R33" s="11">
        <v>3.5</v>
      </c>
      <c r="S33" s="11">
        <v>16.600000000000001</v>
      </c>
      <c r="T33" s="11">
        <v>12.3</v>
      </c>
      <c r="U33" s="11">
        <v>3.4</v>
      </c>
      <c r="V33" s="5">
        <v>45973.519907407404</v>
      </c>
      <c r="W33" s="5">
        <v>45973.520231481481</v>
      </c>
      <c r="X33" s="6">
        <v>3.2407406251877546E-4</v>
      </c>
    </row>
    <row r="34" spans="1:24" hidden="1" x14ac:dyDescent="0.3">
      <c r="A34" s="2">
        <v>456</v>
      </c>
      <c r="B34" t="s">
        <v>629</v>
      </c>
      <c r="C34" t="s">
        <v>24</v>
      </c>
      <c r="D34" t="s">
        <v>628</v>
      </c>
      <c r="E34" t="s">
        <v>348</v>
      </c>
      <c r="F34" t="s">
        <v>591</v>
      </c>
      <c r="G34" s="11">
        <v>14.3</v>
      </c>
      <c r="H34" s="11">
        <v>5.9</v>
      </c>
      <c r="I34" s="11">
        <v>3.4</v>
      </c>
      <c r="J34" s="11">
        <v>2.4</v>
      </c>
      <c r="K34" s="7">
        <v>0.95</v>
      </c>
      <c r="L34" s="11">
        <v>68.5</v>
      </c>
      <c r="M34" s="4">
        <v>0.68300000000000005</v>
      </c>
      <c r="N34" s="4">
        <v>25</v>
      </c>
      <c r="O34" s="11">
        <v>13.8</v>
      </c>
      <c r="P34" s="11">
        <v>8.3000000000000007</v>
      </c>
      <c r="Q34" s="11">
        <v>7.9</v>
      </c>
      <c r="R34" s="11">
        <v>3.7</v>
      </c>
      <c r="S34" s="11">
        <v>11.6</v>
      </c>
      <c r="T34" s="11">
        <v>9.8000000000000007</v>
      </c>
      <c r="U34" s="11">
        <v>2.9</v>
      </c>
      <c r="V34" s="5">
        <v>45973.552337962959</v>
      </c>
      <c r="W34" s="5">
        <v>45973.552511574075</v>
      </c>
      <c r="X34" s="6">
        <v>1.736111007630825E-4</v>
      </c>
    </row>
    <row r="35" spans="1:24" hidden="1" x14ac:dyDescent="0.3">
      <c r="A35" s="2">
        <v>457</v>
      </c>
      <c r="B35" t="s">
        <v>630</v>
      </c>
      <c r="C35" t="s">
        <v>24</v>
      </c>
      <c r="D35" t="s">
        <v>466</v>
      </c>
      <c r="E35" t="s">
        <v>348</v>
      </c>
      <c r="F35" t="s">
        <v>591</v>
      </c>
      <c r="G35" s="3" t="s">
        <v>253</v>
      </c>
      <c r="H35" s="11">
        <v>46.2</v>
      </c>
      <c r="I35" s="3" t="s">
        <v>54</v>
      </c>
      <c r="J35" s="11">
        <v>0.8</v>
      </c>
      <c r="K35" s="3" t="s">
        <v>252</v>
      </c>
      <c r="L35" s="3" t="s">
        <v>54</v>
      </c>
      <c r="M35" s="3" t="s">
        <v>631</v>
      </c>
      <c r="N35" s="4">
        <v>25</v>
      </c>
      <c r="O35" s="3" t="s">
        <v>253</v>
      </c>
      <c r="P35" s="3" t="s">
        <v>321</v>
      </c>
      <c r="Q35" s="3" t="s">
        <v>319</v>
      </c>
      <c r="R35" s="3" t="s">
        <v>68</v>
      </c>
      <c r="S35" s="3" t="s">
        <v>421</v>
      </c>
      <c r="T35" s="3" t="s">
        <v>632</v>
      </c>
      <c r="U35" s="3" t="s">
        <v>254</v>
      </c>
      <c r="V35" s="5">
        <v>45973.652638888889</v>
      </c>
      <c r="W35" s="5">
        <v>45973.652696759258</v>
      </c>
      <c r="X35" s="6">
        <v>5.787037662230432E-5</v>
      </c>
    </row>
    <row r="36" spans="1:24" hidden="1" x14ac:dyDescent="0.3">
      <c r="A36" s="2">
        <v>458</v>
      </c>
      <c r="B36" t="s">
        <v>633</v>
      </c>
      <c r="C36" t="s">
        <v>24</v>
      </c>
      <c r="D36" t="s">
        <v>100</v>
      </c>
      <c r="E36" t="s">
        <v>348</v>
      </c>
      <c r="F36" t="s">
        <v>591</v>
      </c>
      <c r="G36" s="11">
        <v>30.9</v>
      </c>
      <c r="H36" s="11">
        <v>10</v>
      </c>
      <c r="I36" s="3" t="s">
        <v>54</v>
      </c>
      <c r="J36" s="11">
        <v>3.1</v>
      </c>
      <c r="K36" s="7">
        <v>0.49</v>
      </c>
      <c r="L36" s="11">
        <v>54.6</v>
      </c>
      <c r="M36" s="4">
        <v>0.65500000000000003</v>
      </c>
      <c r="N36" s="4">
        <v>25</v>
      </c>
      <c r="O36" s="3" t="s">
        <v>253</v>
      </c>
      <c r="P36" s="3" t="s">
        <v>321</v>
      </c>
      <c r="Q36" s="3" t="s">
        <v>319</v>
      </c>
      <c r="R36" s="3" t="s">
        <v>68</v>
      </c>
      <c r="S36" s="3" t="s">
        <v>421</v>
      </c>
      <c r="T36" s="3" t="s">
        <v>632</v>
      </c>
      <c r="U36" s="3" t="s">
        <v>254</v>
      </c>
      <c r="V36" s="5">
        <v>45973.653171296297</v>
      </c>
      <c r="W36" s="5">
        <v>45973.65357638889</v>
      </c>
      <c r="X36" s="6">
        <v>4.0509257814846933E-4</v>
      </c>
    </row>
    <row r="37" spans="1:24" hidden="1" x14ac:dyDescent="0.3">
      <c r="A37" s="2">
        <v>459</v>
      </c>
      <c r="B37" t="s">
        <v>634</v>
      </c>
      <c r="C37" t="s">
        <v>24</v>
      </c>
      <c r="D37" t="s">
        <v>102</v>
      </c>
      <c r="E37" t="s">
        <v>348</v>
      </c>
      <c r="F37" t="s">
        <v>591</v>
      </c>
      <c r="G37" s="11">
        <v>34.299999999999997</v>
      </c>
      <c r="H37" s="11">
        <v>29.4</v>
      </c>
      <c r="I37" s="11">
        <v>2</v>
      </c>
      <c r="J37" s="11">
        <v>7.3</v>
      </c>
      <c r="K37" s="7">
        <v>0.47</v>
      </c>
      <c r="L37" s="11">
        <v>31.8</v>
      </c>
      <c r="M37" s="4">
        <v>0.69099999999999995</v>
      </c>
      <c r="N37" s="4">
        <v>25</v>
      </c>
      <c r="O37" s="3" t="s">
        <v>253</v>
      </c>
      <c r="P37" s="3" t="s">
        <v>321</v>
      </c>
      <c r="Q37" s="3" t="s">
        <v>319</v>
      </c>
      <c r="R37" s="3" t="s">
        <v>68</v>
      </c>
      <c r="S37" s="3" t="s">
        <v>421</v>
      </c>
      <c r="T37" s="3" t="s">
        <v>632</v>
      </c>
      <c r="U37" s="3" t="s">
        <v>254</v>
      </c>
      <c r="V37" s="5">
        <v>45973.653692129628</v>
      </c>
      <c r="W37" s="5">
        <v>45973.653900462959</v>
      </c>
      <c r="X37" s="6">
        <v>2.1990740788169205E-4</v>
      </c>
    </row>
    <row r="38" spans="1:24" hidden="1" x14ac:dyDescent="0.3">
      <c r="A38" s="2">
        <v>460</v>
      </c>
      <c r="B38" t="s">
        <v>635</v>
      </c>
      <c r="C38" t="s">
        <v>24</v>
      </c>
      <c r="D38" t="s">
        <v>104</v>
      </c>
      <c r="E38" t="s">
        <v>348</v>
      </c>
      <c r="F38" t="s">
        <v>591</v>
      </c>
      <c r="G38" s="11">
        <v>16.5</v>
      </c>
      <c r="H38" s="11">
        <v>9.3000000000000007</v>
      </c>
      <c r="I38" s="3" t="s">
        <v>54</v>
      </c>
      <c r="J38" s="11">
        <v>2.9</v>
      </c>
      <c r="K38" s="7">
        <v>0.4</v>
      </c>
      <c r="L38" s="11">
        <v>64.400000000000006</v>
      </c>
      <c r="M38" s="4">
        <v>0.747</v>
      </c>
      <c r="N38" s="4">
        <v>25</v>
      </c>
      <c r="O38" s="3" t="s">
        <v>253</v>
      </c>
      <c r="P38" s="3" t="s">
        <v>321</v>
      </c>
      <c r="Q38" s="3" t="s">
        <v>319</v>
      </c>
      <c r="R38" s="3" t="s">
        <v>68</v>
      </c>
      <c r="S38" s="3" t="s">
        <v>421</v>
      </c>
      <c r="T38" s="11">
        <v>66.099999999999994</v>
      </c>
      <c r="U38" s="11">
        <v>45.9</v>
      </c>
      <c r="V38" s="5">
        <v>45973.654004629629</v>
      </c>
      <c r="W38" s="5">
        <v>45973.65425925926</v>
      </c>
      <c r="X38" s="6">
        <v>2.5462961639277637E-4</v>
      </c>
    </row>
    <row r="39" spans="1:24" hidden="1" x14ac:dyDescent="0.3">
      <c r="A39" s="2">
        <v>461</v>
      </c>
      <c r="B39" t="s">
        <v>636</v>
      </c>
      <c r="C39" t="s">
        <v>24</v>
      </c>
      <c r="D39" t="s">
        <v>106</v>
      </c>
      <c r="E39" t="s">
        <v>348</v>
      </c>
      <c r="F39" t="s">
        <v>591</v>
      </c>
      <c r="G39" s="11">
        <v>15.4</v>
      </c>
      <c r="H39" s="11">
        <v>12.7</v>
      </c>
      <c r="I39" s="3" t="s">
        <v>54</v>
      </c>
      <c r="J39" s="11">
        <v>3.8</v>
      </c>
      <c r="K39" s="7">
        <v>0.26</v>
      </c>
      <c r="L39" s="11">
        <v>57.1</v>
      </c>
      <c r="M39" s="4">
        <v>0.81</v>
      </c>
      <c r="N39" s="4">
        <v>25</v>
      </c>
      <c r="O39" s="3" t="s">
        <v>253</v>
      </c>
      <c r="P39" s="3" t="s">
        <v>321</v>
      </c>
      <c r="Q39" s="3" t="s">
        <v>319</v>
      </c>
      <c r="R39" s="3" t="s">
        <v>68</v>
      </c>
      <c r="S39" s="3" t="s">
        <v>421</v>
      </c>
      <c r="T39" s="3" t="s">
        <v>632</v>
      </c>
      <c r="U39" s="3" t="s">
        <v>254</v>
      </c>
      <c r="V39" s="5">
        <v>45973.654386574075</v>
      </c>
      <c r="W39" s="5">
        <v>45973.654594907406</v>
      </c>
      <c r="X39" s="6">
        <v>2.1990740788169205E-4</v>
      </c>
    </row>
    <row r="40" spans="1:24" hidden="1" x14ac:dyDescent="0.3">
      <c r="A40" s="2">
        <v>462</v>
      </c>
      <c r="B40" t="s">
        <v>637</v>
      </c>
      <c r="C40" t="s">
        <v>24</v>
      </c>
      <c r="D40" t="s">
        <v>108</v>
      </c>
      <c r="E40" t="s">
        <v>348</v>
      </c>
      <c r="F40" t="s">
        <v>591</v>
      </c>
      <c r="G40" s="11">
        <v>31.9</v>
      </c>
      <c r="H40" s="11">
        <v>7.2</v>
      </c>
      <c r="I40" s="3" t="s">
        <v>54</v>
      </c>
      <c r="J40" s="11">
        <v>3.4</v>
      </c>
      <c r="K40" s="3" t="s">
        <v>252</v>
      </c>
      <c r="L40" s="11">
        <v>69.7</v>
      </c>
      <c r="M40" s="4">
        <v>0.73299999999999998</v>
      </c>
      <c r="N40" s="4">
        <v>25</v>
      </c>
      <c r="O40" s="3" t="s">
        <v>253</v>
      </c>
      <c r="P40" s="3" t="s">
        <v>321</v>
      </c>
      <c r="Q40" s="3" t="s">
        <v>319</v>
      </c>
      <c r="R40" s="3" t="s">
        <v>68</v>
      </c>
      <c r="S40" s="3" t="s">
        <v>421</v>
      </c>
      <c r="T40" s="3" t="s">
        <v>632</v>
      </c>
      <c r="U40" s="11">
        <v>85.5</v>
      </c>
      <c r="V40" s="5">
        <v>45973.654722222222</v>
      </c>
      <c r="W40" s="5">
        <v>45973.654942129629</v>
      </c>
      <c r="X40" s="6">
        <v>2.0833333837799728E-4</v>
      </c>
    </row>
    <row r="41" spans="1:24" hidden="1" x14ac:dyDescent="0.3">
      <c r="A41" s="2">
        <v>463</v>
      </c>
      <c r="B41" t="s">
        <v>638</v>
      </c>
      <c r="C41" t="s">
        <v>24</v>
      </c>
      <c r="D41" t="s">
        <v>466</v>
      </c>
      <c r="E41" t="s">
        <v>345</v>
      </c>
      <c r="F41" t="s">
        <v>591</v>
      </c>
      <c r="G41" s="3" t="s">
        <v>253</v>
      </c>
      <c r="H41" s="11">
        <v>47.2</v>
      </c>
      <c r="I41" s="11">
        <v>0.2</v>
      </c>
      <c r="J41" s="11">
        <v>2.5</v>
      </c>
      <c r="K41" s="3" t="s">
        <v>252</v>
      </c>
      <c r="L41" s="3" t="s">
        <v>54</v>
      </c>
      <c r="M41" s="4">
        <v>0.307</v>
      </c>
      <c r="N41" s="4">
        <v>25</v>
      </c>
      <c r="O41" s="3" t="s">
        <v>253</v>
      </c>
      <c r="P41" s="3" t="s">
        <v>321</v>
      </c>
      <c r="Q41" s="3" t="s">
        <v>319</v>
      </c>
      <c r="R41" s="3" t="s">
        <v>68</v>
      </c>
      <c r="S41" s="3" t="s">
        <v>421</v>
      </c>
      <c r="T41" s="3" t="s">
        <v>632</v>
      </c>
      <c r="U41" s="3" t="s">
        <v>254</v>
      </c>
      <c r="V41" s="5">
        <v>45973.656504629631</v>
      </c>
      <c r="W41" s="5">
        <v>45973.656597222223</v>
      </c>
      <c r="X41" s="6">
        <v>9.2592585133388638E-5</v>
      </c>
    </row>
    <row r="42" spans="1:24" hidden="1" x14ac:dyDescent="0.3">
      <c r="A42" s="2">
        <v>464</v>
      </c>
      <c r="B42" t="s">
        <v>639</v>
      </c>
      <c r="C42" t="s">
        <v>24</v>
      </c>
      <c r="D42" t="s">
        <v>100</v>
      </c>
      <c r="E42" t="s">
        <v>345</v>
      </c>
      <c r="F42" t="s">
        <v>591</v>
      </c>
      <c r="G42" s="11">
        <v>30.4</v>
      </c>
      <c r="H42" s="11">
        <v>9.1999999999999993</v>
      </c>
      <c r="I42" s="3" t="s">
        <v>54</v>
      </c>
      <c r="J42" s="11">
        <v>3.4</v>
      </c>
      <c r="K42" s="7">
        <v>0.69</v>
      </c>
      <c r="L42" s="11">
        <v>51.4</v>
      </c>
      <c r="M42" s="4">
        <v>0.61199999999999999</v>
      </c>
      <c r="N42" s="4">
        <v>25</v>
      </c>
      <c r="O42" s="3" t="s">
        <v>253</v>
      </c>
      <c r="P42" s="3" t="s">
        <v>321</v>
      </c>
      <c r="Q42" s="3" t="s">
        <v>319</v>
      </c>
      <c r="R42" s="3" t="s">
        <v>68</v>
      </c>
      <c r="S42" s="3" t="s">
        <v>421</v>
      </c>
      <c r="T42" s="3" t="s">
        <v>632</v>
      </c>
      <c r="U42" s="3" t="s">
        <v>254</v>
      </c>
      <c r="V42" s="5">
        <v>45973.656793981485</v>
      </c>
      <c r="W42" s="5">
        <v>45973.657037037039</v>
      </c>
      <c r="X42" s="6">
        <v>2.430555468890816E-4</v>
      </c>
    </row>
    <row r="43" spans="1:24" hidden="1" x14ac:dyDescent="0.3">
      <c r="A43" s="2">
        <v>465</v>
      </c>
      <c r="B43" t="s">
        <v>640</v>
      </c>
      <c r="C43" t="s">
        <v>24</v>
      </c>
      <c r="D43" t="s">
        <v>102</v>
      </c>
      <c r="E43" t="s">
        <v>345</v>
      </c>
      <c r="F43" t="s">
        <v>591</v>
      </c>
      <c r="G43" s="11">
        <v>3.8</v>
      </c>
      <c r="H43" s="11">
        <v>21.9</v>
      </c>
      <c r="I43" s="3" t="s">
        <v>54</v>
      </c>
      <c r="J43" s="11">
        <v>6.4</v>
      </c>
      <c r="K43" s="7">
        <v>0.48</v>
      </c>
      <c r="L43" s="11">
        <v>42.8</v>
      </c>
      <c r="M43" s="4">
        <v>0.70099999999999996</v>
      </c>
      <c r="N43" s="4">
        <v>25</v>
      </c>
      <c r="O43" s="3" t="s">
        <v>253</v>
      </c>
      <c r="P43" s="3" t="s">
        <v>321</v>
      </c>
      <c r="Q43" s="3" t="s">
        <v>319</v>
      </c>
      <c r="R43" s="3" t="s">
        <v>68</v>
      </c>
      <c r="S43" s="3" t="s">
        <v>421</v>
      </c>
      <c r="T43" s="3" t="s">
        <v>632</v>
      </c>
      <c r="U43" s="3" t="s">
        <v>254</v>
      </c>
      <c r="V43" s="5">
        <v>45973.657152777778</v>
      </c>
      <c r="W43" s="5">
        <v>45973.657361111109</v>
      </c>
      <c r="X43" s="6">
        <v>2.0833333837799728E-4</v>
      </c>
    </row>
    <row r="44" spans="1:24" hidden="1" x14ac:dyDescent="0.3">
      <c r="A44" s="2">
        <v>466</v>
      </c>
      <c r="B44" t="s">
        <v>641</v>
      </c>
      <c r="C44" t="s">
        <v>24</v>
      </c>
      <c r="D44" t="s">
        <v>104</v>
      </c>
      <c r="E44" t="s">
        <v>345</v>
      </c>
      <c r="F44" t="s">
        <v>591</v>
      </c>
      <c r="G44" s="11">
        <v>15.9</v>
      </c>
      <c r="H44" s="11">
        <v>9.1999999999999993</v>
      </c>
      <c r="I44" s="3" t="s">
        <v>54</v>
      </c>
      <c r="J44" s="11">
        <v>3</v>
      </c>
      <c r="K44" s="7">
        <v>0.57999999999999996</v>
      </c>
      <c r="L44" s="11">
        <v>63.3</v>
      </c>
      <c r="M44" s="4">
        <v>0.71799999999999997</v>
      </c>
      <c r="N44" s="4">
        <v>25</v>
      </c>
      <c r="O44" s="3" t="s">
        <v>253</v>
      </c>
      <c r="P44" s="3" t="s">
        <v>321</v>
      </c>
      <c r="Q44" s="3" t="s">
        <v>319</v>
      </c>
      <c r="R44" s="3" t="s">
        <v>68</v>
      </c>
      <c r="S44" s="3" t="s">
        <v>421</v>
      </c>
      <c r="T44" s="11">
        <v>66.599999999999994</v>
      </c>
      <c r="U44" s="11">
        <v>44.2</v>
      </c>
      <c r="V44" s="5">
        <v>45973.657465277778</v>
      </c>
      <c r="W44" s="5">
        <v>45973.657673611109</v>
      </c>
      <c r="X44" s="6">
        <v>2.0833333837799728E-4</v>
      </c>
    </row>
    <row r="45" spans="1:24" hidden="1" x14ac:dyDescent="0.3">
      <c r="A45" s="2">
        <v>467</v>
      </c>
      <c r="B45" t="s">
        <v>642</v>
      </c>
      <c r="C45" t="s">
        <v>24</v>
      </c>
      <c r="D45" t="s">
        <v>106</v>
      </c>
      <c r="E45" t="s">
        <v>345</v>
      </c>
      <c r="F45" t="s">
        <v>591</v>
      </c>
      <c r="G45" s="11">
        <v>15.1</v>
      </c>
      <c r="H45" s="11">
        <v>12.9</v>
      </c>
      <c r="I45" s="11">
        <v>0.3</v>
      </c>
      <c r="J45" s="11">
        <v>3.9</v>
      </c>
      <c r="K45" s="7">
        <v>0.45</v>
      </c>
      <c r="L45" s="11">
        <v>56</v>
      </c>
      <c r="M45" s="4">
        <v>0.78600000000000003</v>
      </c>
      <c r="N45" s="4">
        <v>25</v>
      </c>
      <c r="O45" s="3" t="s">
        <v>253</v>
      </c>
      <c r="P45" s="3" t="s">
        <v>321</v>
      </c>
      <c r="Q45" s="3" t="s">
        <v>319</v>
      </c>
      <c r="R45" s="3" t="s">
        <v>68</v>
      </c>
      <c r="S45" s="3" t="s">
        <v>421</v>
      </c>
      <c r="T45" s="3" t="s">
        <v>632</v>
      </c>
      <c r="U45" s="3" t="s">
        <v>254</v>
      </c>
      <c r="V45" s="5">
        <v>45973.657789351855</v>
      </c>
      <c r="W45" s="5">
        <v>45973.658009259256</v>
      </c>
      <c r="X45" s="6">
        <v>2.0833333837799728E-4</v>
      </c>
    </row>
    <row r="46" spans="1:24" hidden="1" x14ac:dyDescent="0.3">
      <c r="A46" s="2">
        <v>468</v>
      </c>
      <c r="B46" t="s">
        <v>643</v>
      </c>
      <c r="C46" t="s">
        <v>24</v>
      </c>
      <c r="D46" t="s">
        <v>108</v>
      </c>
      <c r="E46" t="s">
        <v>345</v>
      </c>
      <c r="F46" t="s">
        <v>591</v>
      </c>
      <c r="G46" s="11">
        <v>30.5</v>
      </c>
      <c r="H46" s="11">
        <v>6.8</v>
      </c>
      <c r="I46" s="3" t="s">
        <v>54</v>
      </c>
      <c r="J46" s="11">
        <v>3.8</v>
      </c>
      <c r="K46" s="3" t="s">
        <v>252</v>
      </c>
      <c r="L46" s="11">
        <v>66.599999999999994</v>
      </c>
      <c r="M46" s="4">
        <v>0.68</v>
      </c>
      <c r="N46" s="4">
        <v>25</v>
      </c>
      <c r="O46" s="3" t="s">
        <v>253</v>
      </c>
      <c r="P46" s="3" t="s">
        <v>321</v>
      </c>
      <c r="Q46" s="3" t="s">
        <v>319</v>
      </c>
      <c r="R46" s="3" t="s">
        <v>68</v>
      </c>
      <c r="S46" s="3" t="s">
        <v>421</v>
      </c>
      <c r="T46" s="3" t="s">
        <v>632</v>
      </c>
      <c r="U46" s="11">
        <v>78.099999999999994</v>
      </c>
      <c r="V46" s="5">
        <v>45973.658136574071</v>
      </c>
      <c r="W46" s="5">
        <v>45973.65834490741</v>
      </c>
      <c r="X46" s="6">
        <v>2.0833333837799728E-4</v>
      </c>
    </row>
    <row r="47" spans="1:24" hidden="1" x14ac:dyDescent="0.3">
      <c r="A47" s="2">
        <v>469</v>
      </c>
      <c r="B47" t="s">
        <v>644</v>
      </c>
      <c r="C47" t="s">
        <v>24</v>
      </c>
      <c r="D47" t="s">
        <v>466</v>
      </c>
      <c r="E47" t="s">
        <v>645</v>
      </c>
      <c r="F47" t="s">
        <v>591</v>
      </c>
      <c r="G47" s="3" t="s">
        <v>253</v>
      </c>
      <c r="H47" s="11">
        <v>48.9</v>
      </c>
      <c r="I47" s="3" t="s">
        <v>54</v>
      </c>
      <c r="J47" s="3" t="s">
        <v>54</v>
      </c>
      <c r="K47" s="3" t="s">
        <v>252</v>
      </c>
      <c r="L47" s="3" t="s">
        <v>54</v>
      </c>
      <c r="M47" s="3" t="s">
        <v>631</v>
      </c>
      <c r="N47" s="4">
        <v>25</v>
      </c>
      <c r="O47" s="3" t="s">
        <v>253</v>
      </c>
      <c r="P47" s="3" t="s">
        <v>321</v>
      </c>
      <c r="Q47" s="3" t="s">
        <v>319</v>
      </c>
      <c r="R47" s="3" t="s">
        <v>68</v>
      </c>
      <c r="S47" s="3" t="s">
        <v>421</v>
      </c>
      <c r="T47" s="3" t="s">
        <v>632</v>
      </c>
      <c r="U47" s="3" t="s">
        <v>254</v>
      </c>
      <c r="V47" s="5">
        <v>45973.666076388887</v>
      </c>
      <c r="W47" s="5">
        <v>45973.666215277779</v>
      </c>
      <c r="X47" s="6">
        <v>1.3888889225199819E-4</v>
      </c>
    </row>
    <row r="48" spans="1:24" hidden="1" x14ac:dyDescent="0.3">
      <c r="A48" s="2">
        <v>470</v>
      </c>
      <c r="B48" t="s">
        <v>646</v>
      </c>
      <c r="C48" t="s">
        <v>24</v>
      </c>
      <c r="D48" t="s">
        <v>595</v>
      </c>
      <c r="E48" t="s">
        <v>474</v>
      </c>
      <c r="F48" t="s">
        <v>591</v>
      </c>
      <c r="G48" s="11">
        <v>14</v>
      </c>
      <c r="H48" s="11">
        <v>6</v>
      </c>
      <c r="I48" s="11">
        <v>3.4</v>
      </c>
      <c r="J48" s="11">
        <v>2.4</v>
      </c>
      <c r="K48" s="7">
        <v>0.9</v>
      </c>
      <c r="L48" s="11">
        <v>69.2</v>
      </c>
      <c r="M48" s="4">
        <v>0.69299999999999995</v>
      </c>
      <c r="N48" s="4">
        <v>25</v>
      </c>
      <c r="O48" s="11">
        <v>14.4</v>
      </c>
      <c r="P48" s="11">
        <v>13.1</v>
      </c>
      <c r="Q48" s="11">
        <v>12.1</v>
      </c>
      <c r="R48" s="11">
        <v>8</v>
      </c>
      <c r="S48" s="11">
        <v>16.899999999999999</v>
      </c>
      <c r="T48" s="11">
        <v>14.2</v>
      </c>
      <c r="U48" s="11">
        <v>1.3</v>
      </c>
      <c r="V48" s="5">
        <v>45973.666886574072</v>
      </c>
      <c r="W48" s="5">
        <v>45973.667141203703</v>
      </c>
      <c r="X48" s="6">
        <v>2.5462961639277637E-4</v>
      </c>
    </row>
    <row r="49" spans="1:24" hidden="1" x14ac:dyDescent="0.3">
      <c r="A49" s="2">
        <v>471</v>
      </c>
      <c r="B49" t="s">
        <v>647</v>
      </c>
      <c r="C49" t="s">
        <v>24</v>
      </c>
      <c r="D49" t="s">
        <v>595</v>
      </c>
      <c r="E49" t="s">
        <v>474</v>
      </c>
      <c r="F49" t="s">
        <v>591</v>
      </c>
      <c r="G49" s="11">
        <v>13.8</v>
      </c>
      <c r="H49" s="11">
        <v>6.3</v>
      </c>
      <c r="I49" s="11">
        <v>3.5</v>
      </c>
      <c r="J49" s="11">
        <v>2.5</v>
      </c>
      <c r="K49" s="7">
        <v>0.89</v>
      </c>
      <c r="L49" s="11">
        <v>68.7</v>
      </c>
      <c r="M49" s="4">
        <v>0.64500000000000002</v>
      </c>
      <c r="N49" s="4">
        <v>25</v>
      </c>
      <c r="O49" s="11">
        <v>13.6</v>
      </c>
      <c r="P49" s="11">
        <v>16.899999999999999</v>
      </c>
      <c r="Q49" s="11">
        <v>9.5</v>
      </c>
      <c r="R49" s="11">
        <v>3.3</v>
      </c>
      <c r="S49" s="11">
        <v>19.399999999999999</v>
      </c>
      <c r="T49" s="11">
        <v>12.6</v>
      </c>
      <c r="U49" s="11">
        <v>3.4</v>
      </c>
      <c r="V49" s="5">
        <v>45973.667256944442</v>
      </c>
      <c r="W49" s="5">
        <v>45973.66741898148</v>
      </c>
      <c r="X49" s="6">
        <v>1.736111007630825E-4</v>
      </c>
    </row>
    <row r="50" spans="1:24" x14ac:dyDescent="0.3">
      <c r="A50" s="2">
        <v>472</v>
      </c>
      <c r="B50" t="s">
        <v>648</v>
      </c>
      <c r="C50" t="s">
        <v>353</v>
      </c>
      <c r="D50" t="s">
        <v>595</v>
      </c>
      <c r="E50" t="s">
        <v>354</v>
      </c>
      <c r="F50" t="s">
        <v>591</v>
      </c>
      <c r="G50" s="11">
        <v>13.9</v>
      </c>
      <c r="H50" s="11">
        <v>6.2</v>
      </c>
      <c r="I50" s="11">
        <v>3.7</v>
      </c>
      <c r="J50" s="11">
        <v>2.5</v>
      </c>
      <c r="K50" s="7">
        <v>0.78</v>
      </c>
      <c r="L50" s="11">
        <v>67.8</v>
      </c>
      <c r="M50" s="4">
        <v>0.64900000000000002</v>
      </c>
      <c r="N50" s="4">
        <v>25</v>
      </c>
      <c r="O50" s="11">
        <v>13</v>
      </c>
      <c r="P50" s="11">
        <v>12.4</v>
      </c>
      <c r="Q50" s="11">
        <v>7.2</v>
      </c>
      <c r="R50" s="11">
        <v>3.5</v>
      </c>
      <c r="S50" s="11">
        <v>17.899999999999999</v>
      </c>
      <c r="T50" s="11">
        <v>4.7</v>
      </c>
      <c r="U50" s="11">
        <v>0.7</v>
      </c>
      <c r="V50" s="5">
        <v>45974.487187500003</v>
      </c>
      <c r="W50" s="5">
        <v>45974.487349537034</v>
      </c>
      <c r="X50" s="6">
        <v>1.6203703125938773E-4</v>
      </c>
    </row>
    <row r="51" spans="1:24" x14ac:dyDescent="0.3">
      <c r="A51" s="2">
        <v>473</v>
      </c>
      <c r="B51" t="s">
        <v>649</v>
      </c>
      <c r="C51" t="s">
        <v>353</v>
      </c>
      <c r="D51" t="s">
        <v>595</v>
      </c>
      <c r="E51" t="s">
        <v>354</v>
      </c>
      <c r="F51" t="s">
        <v>591</v>
      </c>
      <c r="G51" s="11">
        <v>14</v>
      </c>
      <c r="H51" s="11">
        <v>6.3</v>
      </c>
      <c r="I51" s="11">
        <v>3.4</v>
      </c>
      <c r="J51" s="11">
        <v>2.4</v>
      </c>
      <c r="K51" s="7">
        <v>0.82</v>
      </c>
      <c r="L51" s="11">
        <v>69</v>
      </c>
      <c r="M51" s="4">
        <v>0.68300000000000005</v>
      </c>
      <c r="N51" s="4">
        <v>25</v>
      </c>
      <c r="O51" s="11">
        <v>14.1</v>
      </c>
      <c r="P51" s="11">
        <v>12.1</v>
      </c>
      <c r="Q51" s="11">
        <v>10.199999999999999</v>
      </c>
      <c r="R51" s="11">
        <v>7.4</v>
      </c>
      <c r="S51" s="11">
        <v>14.7</v>
      </c>
      <c r="T51" s="11">
        <v>11.6</v>
      </c>
      <c r="U51" s="11">
        <v>1.4</v>
      </c>
      <c r="V51" s="5">
        <v>45974.487604166665</v>
      </c>
      <c r="W51" s="5">
        <v>45974.487835648149</v>
      </c>
      <c r="X51" s="6">
        <v>2.3148147738538682E-4</v>
      </c>
    </row>
    <row r="52" spans="1:24" x14ac:dyDescent="0.3">
      <c r="A52" s="2">
        <v>474</v>
      </c>
      <c r="B52" t="s">
        <v>650</v>
      </c>
      <c r="C52" t="s">
        <v>353</v>
      </c>
      <c r="D52" t="s">
        <v>595</v>
      </c>
      <c r="E52" t="s">
        <v>354</v>
      </c>
      <c r="F52" t="s">
        <v>591</v>
      </c>
      <c r="G52" s="11">
        <v>13.6</v>
      </c>
      <c r="H52" s="11">
        <v>6.3</v>
      </c>
      <c r="I52" s="11">
        <v>3.4</v>
      </c>
      <c r="J52" s="11">
        <v>2.4</v>
      </c>
      <c r="K52" s="7">
        <v>0.81</v>
      </c>
      <c r="L52" s="11">
        <v>69.099999999999994</v>
      </c>
      <c r="M52" s="4">
        <v>0.67100000000000004</v>
      </c>
      <c r="N52" s="4">
        <v>25</v>
      </c>
      <c r="O52" s="11">
        <v>9.3000000000000007</v>
      </c>
      <c r="P52" s="11">
        <v>12.2</v>
      </c>
      <c r="Q52" s="11">
        <v>8.1999999999999993</v>
      </c>
      <c r="R52" s="11">
        <v>4.0999999999999996</v>
      </c>
      <c r="S52" s="11">
        <v>16.7</v>
      </c>
      <c r="T52" s="11">
        <v>10.199999999999999</v>
      </c>
      <c r="U52" s="11">
        <v>0.2</v>
      </c>
      <c r="V52" s="5">
        <v>45974.487962962965</v>
      </c>
      <c r="W52" s="5">
        <v>45974.488113425927</v>
      </c>
      <c r="X52" s="6">
        <v>1.6203703125938773E-4</v>
      </c>
    </row>
    <row r="53" spans="1:24" hidden="1" x14ac:dyDescent="0.3">
      <c r="A53" s="2">
        <v>475</v>
      </c>
      <c r="B53" t="s">
        <v>651</v>
      </c>
      <c r="C53" t="s">
        <v>353</v>
      </c>
      <c r="D53" t="s">
        <v>595</v>
      </c>
      <c r="E53" t="s">
        <v>358</v>
      </c>
      <c r="F53" t="s">
        <v>591</v>
      </c>
      <c r="G53" s="11">
        <v>14.1</v>
      </c>
      <c r="H53" s="11">
        <v>6.5</v>
      </c>
      <c r="I53" s="11">
        <v>4.0999999999999996</v>
      </c>
      <c r="J53" s="11">
        <v>2.6</v>
      </c>
      <c r="K53" s="7">
        <v>0.88</v>
      </c>
      <c r="L53" s="11">
        <v>67.900000000000006</v>
      </c>
      <c r="M53" s="4">
        <v>0.628</v>
      </c>
      <c r="N53" s="4">
        <v>25</v>
      </c>
      <c r="O53" s="11">
        <v>13.3</v>
      </c>
      <c r="P53" s="11">
        <v>12.3</v>
      </c>
      <c r="Q53" s="11">
        <v>14.8</v>
      </c>
      <c r="R53" s="11">
        <v>5.2</v>
      </c>
      <c r="S53" s="11">
        <v>13.7</v>
      </c>
      <c r="T53" s="11">
        <v>6.2</v>
      </c>
      <c r="U53" s="11">
        <v>1.2</v>
      </c>
      <c r="V53" s="5">
        <v>45974.577118055553</v>
      </c>
      <c r="W53" s="5">
        <v>45974.577268518522</v>
      </c>
      <c r="X53" s="6">
        <v>1.6203703125938773E-4</v>
      </c>
    </row>
    <row r="54" spans="1:24" hidden="1" x14ac:dyDescent="0.3">
      <c r="A54" s="2">
        <v>476</v>
      </c>
      <c r="B54" t="s">
        <v>652</v>
      </c>
      <c r="C54" t="s">
        <v>353</v>
      </c>
      <c r="D54" t="s">
        <v>595</v>
      </c>
      <c r="E54" t="s">
        <v>358</v>
      </c>
      <c r="F54" t="s">
        <v>591</v>
      </c>
      <c r="G54" s="11">
        <v>13.7</v>
      </c>
      <c r="H54" s="11">
        <v>6.3</v>
      </c>
      <c r="I54" s="11">
        <v>3.6</v>
      </c>
      <c r="J54" s="11">
        <v>2.6</v>
      </c>
      <c r="K54" s="7">
        <v>0.9</v>
      </c>
      <c r="L54" s="11">
        <v>68.3</v>
      </c>
      <c r="M54" s="4">
        <v>0.66100000000000003</v>
      </c>
      <c r="N54" s="4">
        <v>25</v>
      </c>
      <c r="O54" s="11">
        <v>7.2</v>
      </c>
      <c r="P54" s="11">
        <v>10</v>
      </c>
      <c r="Q54" s="11">
        <v>9.6</v>
      </c>
      <c r="R54" s="11">
        <v>5</v>
      </c>
      <c r="S54" s="11">
        <v>10.9</v>
      </c>
      <c r="T54" s="11">
        <v>7.2</v>
      </c>
      <c r="U54" s="11">
        <v>1</v>
      </c>
      <c r="V54" s="5">
        <v>45974.57739583333</v>
      </c>
      <c r="W54" s="5">
        <v>45974.577523148146</v>
      </c>
      <c r="X54" s="6">
        <v>1.1574075324460864E-4</v>
      </c>
    </row>
    <row r="55" spans="1:24" hidden="1" x14ac:dyDescent="0.3">
      <c r="A55" s="2">
        <v>477</v>
      </c>
      <c r="B55" t="s">
        <v>653</v>
      </c>
      <c r="C55" t="s">
        <v>353</v>
      </c>
      <c r="D55" t="s">
        <v>595</v>
      </c>
      <c r="E55" t="s">
        <v>358</v>
      </c>
      <c r="F55" t="s">
        <v>591</v>
      </c>
      <c r="G55" s="11">
        <v>13.8</v>
      </c>
      <c r="H55" s="11">
        <v>6.3</v>
      </c>
      <c r="I55" s="11">
        <v>4</v>
      </c>
      <c r="J55" s="11">
        <v>2.6</v>
      </c>
      <c r="K55" s="7">
        <v>0.84</v>
      </c>
      <c r="L55" s="11">
        <v>68.099999999999994</v>
      </c>
      <c r="M55" s="4">
        <v>0.63500000000000001</v>
      </c>
      <c r="N55" s="4">
        <v>25</v>
      </c>
      <c r="O55" s="11">
        <v>11.7</v>
      </c>
      <c r="P55" s="11">
        <v>12.1</v>
      </c>
      <c r="Q55" s="11">
        <v>10.3</v>
      </c>
      <c r="R55" s="11">
        <v>4.4000000000000004</v>
      </c>
      <c r="S55" s="11">
        <v>15.3</v>
      </c>
      <c r="T55" s="11">
        <v>6.9</v>
      </c>
      <c r="U55" s="11">
        <v>1.5</v>
      </c>
      <c r="V55" s="5">
        <v>45974.577627314815</v>
      </c>
      <c r="W55" s="5">
        <v>45974.577789351853</v>
      </c>
      <c r="X55" s="6">
        <v>1.6203703125938773E-4</v>
      </c>
    </row>
    <row r="56" spans="1:24" hidden="1" x14ac:dyDescent="0.3">
      <c r="A56" s="2">
        <v>478</v>
      </c>
      <c r="B56" t="s">
        <v>654</v>
      </c>
      <c r="C56" t="s">
        <v>362</v>
      </c>
      <c r="D56" t="s">
        <v>595</v>
      </c>
      <c r="E56" t="s">
        <v>363</v>
      </c>
      <c r="F56" t="s">
        <v>591</v>
      </c>
      <c r="G56" s="11">
        <v>13.9</v>
      </c>
      <c r="H56" s="11">
        <v>6.1</v>
      </c>
      <c r="I56" s="11">
        <v>3.6</v>
      </c>
      <c r="J56" s="11">
        <v>2.5</v>
      </c>
      <c r="K56" s="7">
        <v>0.62</v>
      </c>
      <c r="L56" s="11">
        <v>70.5</v>
      </c>
      <c r="M56" s="4">
        <v>0.65200000000000002</v>
      </c>
      <c r="N56" s="4">
        <v>25</v>
      </c>
      <c r="O56" s="11">
        <v>16.399999999999999</v>
      </c>
      <c r="P56" s="11">
        <v>22.4</v>
      </c>
      <c r="Q56" s="11">
        <v>15.2</v>
      </c>
      <c r="R56" s="11">
        <v>4.7</v>
      </c>
      <c r="S56" s="3" t="s">
        <v>421</v>
      </c>
      <c r="T56" s="11">
        <v>17.8</v>
      </c>
      <c r="U56" s="11">
        <v>0.3</v>
      </c>
      <c r="V56" s="5">
        <v>45974.671122685184</v>
      </c>
      <c r="W56" s="5">
        <v>45974.671319444446</v>
      </c>
      <c r="X56" s="6">
        <v>1.9675926887430251E-4</v>
      </c>
    </row>
    <row r="57" spans="1:24" hidden="1" x14ac:dyDescent="0.3">
      <c r="A57" s="2">
        <v>479</v>
      </c>
      <c r="B57" t="s">
        <v>655</v>
      </c>
      <c r="C57" t="s">
        <v>362</v>
      </c>
      <c r="D57" t="s">
        <v>595</v>
      </c>
      <c r="E57" t="s">
        <v>363</v>
      </c>
      <c r="F57" t="s">
        <v>591</v>
      </c>
      <c r="G57" s="11">
        <v>14.1</v>
      </c>
      <c r="H57" s="11">
        <v>6.1</v>
      </c>
      <c r="I57" s="11">
        <v>3.7</v>
      </c>
      <c r="J57" s="11">
        <v>2.5</v>
      </c>
      <c r="K57" s="7">
        <v>0.63</v>
      </c>
      <c r="L57" s="11">
        <v>69.099999999999994</v>
      </c>
      <c r="M57" s="4">
        <v>0.65200000000000002</v>
      </c>
      <c r="N57" s="4">
        <v>25</v>
      </c>
      <c r="O57" s="11">
        <v>15.5</v>
      </c>
      <c r="P57" s="11">
        <v>16.2</v>
      </c>
      <c r="Q57" s="11">
        <v>11.6</v>
      </c>
      <c r="R57" s="11">
        <v>3.6</v>
      </c>
      <c r="S57" s="3" t="s">
        <v>421</v>
      </c>
      <c r="T57" s="11">
        <v>9.6</v>
      </c>
      <c r="U57" s="11">
        <v>0.3</v>
      </c>
      <c r="V57" s="5">
        <v>45974.671458333331</v>
      </c>
      <c r="W57" s="5">
        <v>45974.671550925923</v>
      </c>
      <c r="X57" s="6">
        <v>8.1018515629693866E-5</v>
      </c>
    </row>
    <row r="58" spans="1:24" hidden="1" x14ac:dyDescent="0.3">
      <c r="A58" s="2">
        <v>480</v>
      </c>
      <c r="B58" t="s">
        <v>656</v>
      </c>
      <c r="C58" t="s">
        <v>362</v>
      </c>
      <c r="D58" t="s">
        <v>595</v>
      </c>
      <c r="E58" t="s">
        <v>363</v>
      </c>
      <c r="F58" t="s">
        <v>591</v>
      </c>
      <c r="G58" s="11">
        <v>14.2</v>
      </c>
      <c r="H58" s="11">
        <v>6</v>
      </c>
      <c r="I58" s="11">
        <v>3.7</v>
      </c>
      <c r="J58" s="11">
        <v>2.5</v>
      </c>
      <c r="K58" s="7">
        <v>0.68</v>
      </c>
      <c r="L58" s="11">
        <v>70.099999999999994</v>
      </c>
      <c r="M58" s="4">
        <v>0.66200000000000003</v>
      </c>
      <c r="N58" s="4">
        <v>25</v>
      </c>
      <c r="O58" s="11">
        <v>19.899999999999999</v>
      </c>
      <c r="P58" s="11">
        <v>16.7</v>
      </c>
      <c r="Q58" s="11">
        <v>16.3</v>
      </c>
      <c r="R58" s="11">
        <v>6.1</v>
      </c>
      <c r="S58" s="3" t="s">
        <v>421</v>
      </c>
      <c r="T58" s="11">
        <v>16.399999999999999</v>
      </c>
      <c r="U58" s="11">
        <v>2.2000000000000002</v>
      </c>
      <c r="V58" s="5">
        <v>45974.671655092592</v>
      </c>
      <c r="W58" s="5">
        <v>45974.671805555554</v>
      </c>
      <c r="X58" s="6">
        <v>1.5046296175569296E-4</v>
      </c>
    </row>
    <row r="59" spans="1:24" hidden="1" x14ac:dyDescent="0.3">
      <c r="A59" s="2">
        <v>481</v>
      </c>
      <c r="B59" t="s">
        <v>657</v>
      </c>
      <c r="C59" t="s">
        <v>362</v>
      </c>
      <c r="D59" t="s">
        <v>595</v>
      </c>
      <c r="E59" t="s">
        <v>367</v>
      </c>
      <c r="F59" t="s">
        <v>591</v>
      </c>
      <c r="G59" s="11">
        <v>13.9</v>
      </c>
      <c r="H59" s="11">
        <v>5.8</v>
      </c>
      <c r="I59" s="11">
        <v>3.5</v>
      </c>
      <c r="J59" s="11">
        <v>2.5</v>
      </c>
      <c r="K59" s="7">
        <v>0.82</v>
      </c>
      <c r="L59" s="11">
        <v>68.400000000000006</v>
      </c>
      <c r="M59" s="4">
        <v>0.66700000000000004</v>
      </c>
      <c r="N59" s="4">
        <v>25</v>
      </c>
      <c r="O59" s="11">
        <v>7.4</v>
      </c>
      <c r="P59" s="11">
        <v>9.3000000000000007</v>
      </c>
      <c r="Q59" s="11">
        <v>9.1999999999999993</v>
      </c>
      <c r="R59" s="11">
        <v>4.4000000000000004</v>
      </c>
      <c r="S59" s="11">
        <v>10.5</v>
      </c>
      <c r="T59" s="11">
        <v>7.3</v>
      </c>
      <c r="U59" s="11">
        <v>1.6</v>
      </c>
      <c r="V59" s="5">
        <v>45974.690428240741</v>
      </c>
      <c r="W59" s="5">
        <v>45974.690601851849</v>
      </c>
      <c r="X59" s="6">
        <v>1.736111007630825E-4</v>
      </c>
    </row>
    <row r="60" spans="1:24" hidden="1" x14ac:dyDescent="0.3">
      <c r="A60" s="2">
        <v>482</v>
      </c>
      <c r="B60" t="s">
        <v>658</v>
      </c>
      <c r="C60" t="s">
        <v>362</v>
      </c>
      <c r="D60" t="s">
        <v>595</v>
      </c>
      <c r="E60" t="s">
        <v>367</v>
      </c>
      <c r="F60" t="s">
        <v>591</v>
      </c>
      <c r="G60" s="11">
        <v>13.8</v>
      </c>
      <c r="H60" s="11">
        <v>6</v>
      </c>
      <c r="I60" s="11">
        <v>3.9</v>
      </c>
      <c r="J60" s="11">
        <v>2.6</v>
      </c>
      <c r="K60" s="7">
        <v>0.83</v>
      </c>
      <c r="L60" s="11">
        <v>68.3</v>
      </c>
      <c r="M60" s="4">
        <v>0.63700000000000001</v>
      </c>
      <c r="N60" s="4">
        <v>25</v>
      </c>
      <c r="O60" s="11">
        <v>11.9</v>
      </c>
      <c r="P60" s="11">
        <v>10.3</v>
      </c>
      <c r="Q60" s="11">
        <v>12</v>
      </c>
      <c r="R60" s="11">
        <v>4.0999999999999996</v>
      </c>
      <c r="S60" s="11">
        <v>13</v>
      </c>
      <c r="T60" s="11">
        <v>7.6</v>
      </c>
      <c r="U60" s="11">
        <v>1.3</v>
      </c>
      <c r="V60" s="5">
        <v>45974.690648148149</v>
      </c>
      <c r="W60" s="5">
        <v>45974.690763888888</v>
      </c>
      <c r="X60" s="6">
        <v>1.1574075324460864E-4</v>
      </c>
    </row>
    <row r="61" spans="1:24" hidden="1" x14ac:dyDescent="0.3">
      <c r="A61" s="2">
        <v>483</v>
      </c>
      <c r="B61" t="s">
        <v>659</v>
      </c>
      <c r="C61" t="s">
        <v>362</v>
      </c>
      <c r="D61" t="s">
        <v>595</v>
      </c>
      <c r="E61" t="s">
        <v>367</v>
      </c>
      <c r="F61" t="s">
        <v>591</v>
      </c>
      <c r="G61" s="11">
        <v>14.1</v>
      </c>
      <c r="H61" s="11">
        <v>6.1</v>
      </c>
      <c r="I61" s="11">
        <v>4.0999999999999996</v>
      </c>
      <c r="J61" s="11">
        <v>2.5</v>
      </c>
      <c r="K61" s="7">
        <v>0.78</v>
      </c>
      <c r="L61" s="11">
        <v>67.7</v>
      </c>
      <c r="M61" s="4">
        <v>0.64400000000000002</v>
      </c>
      <c r="N61" s="4">
        <v>25</v>
      </c>
      <c r="O61" s="11">
        <v>13.2</v>
      </c>
      <c r="P61" s="11">
        <v>11.1</v>
      </c>
      <c r="Q61" s="11">
        <v>13.1</v>
      </c>
      <c r="R61" s="11">
        <v>4.0999999999999996</v>
      </c>
      <c r="S61" s="11">
        <v>14.8</v>
      </c>
      <c r="T61" s="11">
        <v>5.8</v>
      </c>
      <c r="U61" s="11">
        <v>1.6</v>
      </c>
      <c r="V61" s="5">
        <v>45974.690925925926</v>
      </c>
      <c r="W61" s="5">
        <v>45974.691087962965</v>
      </c>
      <c r="X61" s="6">
        <v>1.5046296175569296E-4</v>
      </c>
    </row>
    <row r="62" spans="1:24" x14ac:dyDescent="0.3">
      <c r="A62" s="2">
        <v>484</v>
      </c>
      <c r="B62" t="s">
        <v>660</v>
      </c>
      <c r="C62" t="s">
        <v>353</v>
      </c>
      <c r="D62" t="s">
        <v>595</v>
      </c>
      <c r="E62" t="s">
        <v>371</v>
      </c>
      <c r="F62" t="s">
        <v>591</v>
      </c>
      <c r="G62" s="11">
        <v>14.4</v>
      </c>
      <c r="H62" s="11">
        <v>5.7</v>
      </c>
      <c r="I62" s="11">
        <v>3.6</v>
      </c>
      <c r="J62" s="11">
        <v>2.2999999999999998</v>
      </c>
      <c r="K62" s="7">
        <v>0.84</v>
      </c>
      <c r="L62" s="11">
        <v>68.900000000000006</v>
      </c>
      <c r="M62" s="4">
        <v>0.70199999999999996</v>
      </c>
      <c r="N62" s="4">
        <v>25</v>
      </c>
      <c r="O62" s="11">
        <v>14.2</v>
      </c>
      <c r="P62" s="11">
        <v>11</v>
      </c>
      <c r="Q62" s="11">
        <v>15.3</v>
      </c>
      <c r="R62" s="11">
        <v>4</v>
      </c>
      <c r="S62" s="11">
        <v>14</v>
      </c>
      <c r="T62" s="11">
        <v>11.8</v>
      </c>
      <c r="U62" s="11">
        <v>0.4</v>
      </c>
      <c r="V62" s="5">
        <v>45975.523912037039</v>
      </c>
      <c r="W62" s="5">
        <v>45975.524363425924</v>
      </c>
      <c r="X62" s="6">
        <v>4.5138888526707888E-4</v>
      </c>
    </row>
    <row r="63" spans="1:24" x14ac:dyDescent="0.3">
      <c r="A63" s="2">
        <v>485</v>
      </c>
      <c r="B63" t="s">
        <v>661</v>
      </c>
      <c r="C63" t="s">
        <v>353</v>
      </c>
      <c r="D63" t="s">
        <v>595</v>
      </c>
      <c r="E63" t="s">
        <v>371</v>
      </c>
      <c r="F63" t="s">
        <v>591</v>
      </c>
      <c r="G63" s="11">
        <v>14</v>
      </c>
      <c r="H63" s="11">
        <v>6.4</v>
      </c>
      <c r="I63" s="11">
        <v>3.5</v>
      </c>
      <c r="J63" s="11">
        <v>2.4</v>
      </c>
      <c r="K63" s="7">
        <v>0.74</v>
      </c>
      <c r="L63" s="11">
        <v>69.099999999999994</v>
      </c>
      <c r="M63" s="4">
        <v>0.66700000000000004</v>
      </c>
      <c r="N63" s="4">
        <v>25</v>
      </c>
      <c r="O63" s="11">
        <v>14</v>
      </c>
      <c r="P63" s="11">
        <v>11.9</v>
      </c>
      <c r="Q63" s="11">
        <v>8.1</v>
      </c>
      <c r="R63" s="11">
        <v>3.8</v>
      </c>
      <c r="S63" s="11">
        <v>18.3</v>
      </c>
      <c r="T63" s="11">
        <v>10.5</v>
      </c>
      <c r="U63" s="11">
        <v>0.2</v>
      </c>
      <c r="V63" s="5">
        <v>45975.524525462963</v>
      </c>
      <c r="W63" s="5">
        <v>45975.524733796294</v>
      </c>
      <c r="X63" s="6">
        <v>2.0833333837799728E-4</v>
      </c>
    </row>
    <row r="64" spans="1:24" x14ac:dyDescent="0.3">
      <c r="A64" s="2">
        <v>486</v>
      </c>
      <c r="B64" t="s">
        <v>662</v>
      </c>
      <c r="C64" t="s">
        <v>353</v>
      </c>
      <c r="D64" t="s">
        <v>595</v>
      </c>
      <c r="E64" t="s">
        <v>371</v>
      </c>
      <c r="F64" t="s">
        <v>591</v>
      </c>
      <c r="G64" s="11">
        <v>14.1</v>
      </c>
      <c r="H64" s="11">
        <v>6.5</v>
      </c>
      <c r="I64" s="11">
        <v>3.5</v>
      </c>
      <c r="J64" s="11">
        <v>2.4</v>
      </c>
      <c r="K64" s="7">
        <v>0.76</v>
      </c>
      <c r="L64" s="11">
        <v>68.7</v>
      </c>
      <c r="M64" s="4">
        <v>0.68700000000000006</v>
      </c>
      <c r="N64" s="4">
        <v>25</v>
      </c>
      <c r="O64" s="11">
        <v>12.7</v>
      </c>
      <c r="P64" s="11">
        <v>12.1</v>
      </c>
      <c r="Q64" s="11">
        <v>9.6999999999999993</v>
      </c>
      <c r="R64" s="11">
        <v>5.7</v>
      </c>
      <c r="S64" s="11">
        <v>16.600000000000001</v>
      </c>
      <c r="T64" s="11">
        <v>9.6</v>
      </c>
      <c r="U64" s="11">
        <v>0.6</v>
      </c>
      <c r="V64" s="5">
        <v>45975.524861111109</v>
      </c>
      <c r="W64" s="5">
        <v>45975.525104166663</v>
      </c>
      <c r="X64" s="6">
        <v>2.430555468890816E-4</v>
      </c>
    </row>
    <row r="65" spans="1:24" hidden="1" x14ac:dyDescent="0.3">
      <c r="A65" s="2">
        <v>487</v>
      </c>
      <c r="B65" t="s">
        <v>663</v>
      </c>
      <c r="C65" t="s">
        <v>353</v>
      </c>
      <c r="D65" t="s">
        <v>595</v>
      </c>
      <c r="E65" t="s">
        <v>664</v>
      </c>
      <c r="F65" t="s">
        <v>591</v>
      </c>
      <c r="G65" s="11">
        <v>14</v>
      </c>
      <c r="H65" s="11">
        <v>6.2</v>
      </c>
      <c r="I65" s="11">
        <v>3.7</v>
      </c>
      <c r="J65" s="11">
        <v>2.6</v>
      </c>
      <c r="K65" s="7">
        <v>0.81</v>
      </c>
      <c r="L65" s="11">
        <v>68.8</v>
      </c>
      <c r="M65" s="4">
        <v>0.63</v>
      </c>
      <c r="N65" s="4">
        <v>25</v>
      </c>
      <c r="O65" s="11">
        <v>12</v>
      </c>
      <c r="P65" s="11">
        <v>12</v>
      </c>
      <c r="Q65" s="11">
        <v>10.3</v>
      </c>
      <c r="R65" s="11">
        <v>4.2</v>
      </c>
      <c r="S65" s="11">
        <v>16.7</v>
      </c>
      <c r="T65" s="11">
        <v>9.8000000000000007</v>
      </c>
      <c r="U65" s="11">
        <v>1.7</v>
      </c>
      <c r="V65" s="5">
        <v>45975.612326388888</v>
      </c>
      <c r="W65" s="5">
        <v>45975.612534722219</v>
      </c>
      <c r="X65" s="6">
        <v>2.0833333837799728E-4</v>
      </c>
    </row>
    <row r="66" spans="1:24" hidden="1" x14ac:dyDescent="0.3">
      <c r="A66" s="2">
        <v>488</v>
      </c>
      <c r="B66" t="s">
        <v>665</v>
      </c>
      <c r="C66" t="s">
        <v>353</v>
      </c>
      <c r="D66" t="s">
        <v>595</v>
      </c>
      <c r="E66" t="s">
        <v>375</v>
      </c>
      <c r="F66" t="s">
        <v>591</v>
      </c>
      <c r="G66" s="11">
        <v>13.7</v>
      </c>
      <c r="H66" s="11">
        <v>6.1</v>
      </c>
      <c r="I66" s="11">
        <v>4</v>
      </c>
      <c r="J66" s="11">
        <v>2.6</v>
      </c>
      <c r="K66" s="7">
        <v>0.91</v>
      </c>
      <c r="L66" s="11">
        <v>68.400000000000006</v>
      </c>
      <c r="M66" s="4">
        <v>0.63</v>
      </c>
      <c r="N66" s="4">
        <v>25</v>
      </c>
      <c r="O66" s="11">
        <v>10.4</v>
      </c>
      <c r="P66" s="11">
        <v>13.4</v>
      </c>
      <c r="Q66" s="11">
        <v>12.7</v>
      </c>
      <c r="R66" s="11">
        <v>4.9000000000000004</v>
      </c>
      <c r="S66" s="11">
        <v>15.4</v>
      </c>
      <c r="T66" s="11">
        <v>8.1</v>
      </c>
      <c r="U66" s="11">
        <v>2.2999999999999998</v>
      </c>
      <c r="V66" s="5">
        <v>45975.612638888888</v>
      </c>
      <c r="W66" s="5">
        <v>45975.612800925926</v>
      </c>
      <c r="X66" s="6">
        <v>1.6203703125938773E-4</v>
      </c>
    </row>
    <row r="67" spans="1:24" hidden="1" x14ac:dyDescent="0.3">
      <c r="A67" s="2">
        <v>489</v>
      </c>
      <c r="B67" t="s">
        <v>666</v>
      </c>
      <c r="C67" t="s">
        <v>353</v>
      </c>
      <c r="D67" t="s">
        <v>595</v>
      </c>
      <c r="E67" t="s">
        <v>375</v>
      </c>
      <c r="F67" t="s">
        <v>591</v>
      </c>
      <c r="G67" s="11">
        <v>13.7</v>
      </c>
      <c r="H67" s="11">
        <v>6.4</v>
      </c>
      <c r="I67" s="11">
        <v>4.2</v>
      </c>
      <c r="J67" s="11">
        <v>2.6</v>
      </c>
      <c r="K67" s="7">
        <v>0.84</v>
      </c>
      <c r="L67" s="11">
        <v>68.2</v>
      </c>
      <c r="M67" s="4">
        <v>0.63200000000000001</v>
      </c>
      <c r="N67" s="4">
        <v>25</v>
      </c>
      <c r="O67" s="11">
        <v>11.6</v>
      </c>
      <c r="P67" s="11">
        <v>10.5</v>
      </c>
      <c r="Q67" s="11">
        <v>14.4</v>
      </c>
      <c r="R67" s="11">
        <v>3.1</v>
      </c>
      <c r="S67" s="11">
        <v>14.1</v>
      </c>
      <c r="T67" s="11">
        <v>6.9</v>
      </c>
      <c r="U67" s="11">
        <v>2</v>
      </c>
      <c r="V67" s="5">
        <v>45975.612928240742</v>
      </c>
      <c r="W67" s="5">
        <v>45975.613136574073</v>
      </c>
      <c r="X67" s="6">
        <v>2.0833333837799728E-4</v>
      </c>
    </row>
    <row r="68" spans="1:24" hidden="1" x14ac:dyDescent="0.3">
      <c r="A68" s="2">
        <v>490</v>
      </c>
      <c r="B68" t="s">
        <v>667</v>
      </c>
      <c r="C68" t="s">
        <v>353</v>
      </c>
      <c r="D68" t="s">
        <v>595</v>
      </c>
      <c r="E68" t="s">
        <v>375</v>
      </c>
      <c r="F68" t="s">
        <v>591</v>
      </c>
      <c r="G68" s="11">
        <v>13.9</v>
      </c>
      <c r="H68" s="11">
        <v>6.3</v>
      </c>
      <c r="I68" s="11">
        <v>3.7</v>
      </c>
      <c r="J68" s="11">
        <v>2.6</v>
      </c>
      <c r="K68" s="7">
        <v>0.79</v>
      </c>
      <c r="L68" s="11">
        <v>68.3</v>
      </c>
      <c r="M68" s="4">
        <v>0.64500000000000002</v>
      </c>
      <c r="N68" s="4">
        <v>25</v>
      </c>
      <c r="O68" s="11">
        <v>9</v>
      </c>
      <c r="P68" s="11">
        <v>10.9</v>
      </c>
      <c r="Q68" s="11">
        <v>12.3</v>
      </c>
      <c r="R68" s="11">
        <v>5.6</v>
      </c>
      <c r="S68" s="11">
        <v>13.8</v>
      </c>
      <c r="T68" s="11">
        <v>7.1</v>
      </c>
      <c r="U68" s="11">
        <v>1.4</v>
      </c>
      <c r="V68" s="5">
        <v>45978.496678240743</v>
      </c>
      <c r="W68" s="5">
        <v>45978.496932870374</v>
      </c>
      <c r="X68" s="6">
        <v>2.430555468890816E-4</v>
      </c>
    </row>
    <row r="69" spans="1:24" hidden="1" x14ac:dyDescent="0.3">
      <c r="A69" s="2">
        <v>491</v>
      </c>
      <c r="B69" t="s">
        <v>668</v>
      </c>
      <c r="C69" t="s">
        <v>353</v>
      </c>
      <c r="D69" t="s">
        <v>595</v>
      </c>
      <c r="E69" t="s">
        <v>375</v>
      </c>
      <c r="F69" t="s">
        <v>591</v>
      </c>
      <c r="G69" s="11">
        <v>14.5</v>
      </c>
      <c r="H69" s="11">
        <v>5.9</v>
      </c>
      <c r="I69" s="11">
        <v>3.7</v>
      </c>
      <c r="J69" s="11">
        <v>2.5</v>
      </c>
      <c r="K69" s="7">
        <v>0.86</v>
      </c>
      <c r="L69" s="11">
        <v>68.099999999999994</v>
      </c>
      <c r="M69" s="4">
        <v>0.66700000000000004</v>
      </c>
      <c r="N69" s="4">
        <v>25</v>
      </c>
      <c r="O69" s="11">
        <v>14.3</v>
      </c>
      <c r="P69" s="11">
        <v>10.3</v>
      </c>
      <c r="Q69" s="11">
        <v>16.600000000000001</v>
      </c>
      <c r="R69" s="11">
        <v>5.4</v>
      </c>
      <c r="S69" s="11">
        <v>11.6</v>
      </c>
      <c r="T69" s="11">
        <v>7.6</v>
      </c>
      <c r="U69" s="11">
        <v>0.9</v>
      </c>
      <c r="V69" s="5">
        <v>45978.497048611112</v>
      </c>
      <c r="W69" s="5">
        <v>45978.497199074074</v>
      </c>
      <c r="X69" s="6">
        <v>1.6203703125938773E-4</v>
      </c>
    </row>
    <row r="70" spans="1:24" hidden="1" x14ac:dyDescent="0.3">
      <c r="A70" s="2">
        <v>492</v>
      </c>
      <c r="B70" t="s">
        <v>669</v>
      </c>
      <c r="C70" t="s">
        <v>353</v>
      </c>
      <c r="D70" t="s">
        <v>595</v>
      </c>
      <c r="E70" t="s">
        <v>375</v>
      </c>
      <c r="F70" t="s">
        <v>591</v>
      </c>
      <c r="G70" s="11">
        <v>13.8</v>
      </c>
      <c r="H70" s="11">
        <v>6.4</v>
      </c>
      <c r="I70" s="11">
        <v>3.8</v>
      </c>
      <c r="J70" s="11">
        <v>2.6</v>
      </c>
      <c r="K70" s="7">
        <v>0.89</v>
      </c>
      <c r="L70" s="11">
        <v>68.400000000000006</v>
      </c>
      <c r="M70" s="4">
        <v>0.66100000000000003</v>
      </c>
      <c r="N70" s="4">
        <v>25</v>
      </c>
      <c r="O70" s="11">
        <v>7.5</v>
      </c>
      <c r="P70" s="11">
        <v>9.5</v>
      </c>
      <c r="Q70" s="11">
        <v>13.8</v>
      </c>
      <c r="R70" s="11">
        <v>4.4000000000000004</v>
      </c>
      <c r="S70" s="11">
        <v>10.1</v>
      </c>
      <c r="T70" s="11">
        <v>7.1</v>
      </c>
      <c r="U70" s="11">
        <v>1.1000000000000001</v>
      </c>
      <c r="V70" s="5">
        <v>45978.497384259259</v>
      </c>
      <c r="W70" s="5">
        <v>45978.49759259259</v>
      </c>
      <c r="X70" s="6">
        <v>2.0833333837799728E-4</v>
      </c>
    </row>
    <row r="71" spans="1:24" x14ac:dyDescent="0.3">
      <c r="A71" s="2">
        <v>493</v>
      </c>
      <c r="B71" t="s">
        <v>670</v>
      </c>
      <c r="C71" t="s">
        <v>353</v>
      </c>
      <c r="D71" t="s">
        <v>595</v>
      </c>
      <c r="E71" t="s">
        <v>382</v>
      </c>
      <c r="F71" t="s">
        <v>591</v>
      </c>
      <c r="G71" s="11">
        <v>13.9</v>
      </c>
      <c r="H71" s="11">
        <v>6.2</v>
      </c>
      <c r="I71" s="11">
        <v>3.7</v>
      </c>
      <c r="J71" s="11">
        <v>2.5</v>
      </c>
      <c r="K71" s="7">
        <v>0.8</v>
      </c>
      <c r="L71" s="11">
        <v>69.3</v>
      </c>
      <c r="M71" s="4">
        <v>0.64900000000000002</v>
      </c>
      <c r="N71" s="4">
        <v>25</v>
      </c>
      <c r="O71" s="11">
        <v>12</v>
      </c>
      <c r="P71" s="11">
        <v>11.7</v>
      </c>
      <c r="Q71" s="11">
        <v>8.6</v>
      </c>
      <c r="R71" s="11">
        <v>1.7</v>
      </c>
      <c r="S71" s="11">
        <v>16.399999999999999</v>
      </c>
      <c r="T71" s="11">
        <v>10.1</v>
      </c>
      <c r="U71" s="11">
        <v>0.7</v>
      </c>
      <c r="V71" s="5">
        <v>45978.504317129627</v>
      </c>
      <c r="W71" s="5">
        <v>45978.504502314812</v>
      </c>
      <c r="X71" s="6">
        <v>1.8518519937060773E-4</v>
      </c>
    </row>
    <row r="72" spans="1:24" x14ac:dyDescent="0.3">
      <c r="A72" s="2">
        <v>494</v>
      </c>
      <c r="B72" t="s">
        <v>671</v>
      </c>
      <c r="C72" t="s">
        <v>353</v>
      </c>
      <c r="D72" t="s">
        <v>595</v>
      </c>
      <c r="E72" t="s">
        <v>382</v>
      </c>
      <c r="F72" t="s">
        <v>591</v>
      </c>
      <c r="G72" s="11">
        <v>13.8</v>
      </c>
      <c r="H72" s="11">
        <v>6.3</v>
      </c>
      <c r="I72" s="11">
        <v>3.5</v>
      </c>
      <c r="J72" s="11">
        <v>2.4</v>
      </c>
      <c r="K72" s="7">
        <v>0.82</v>
      </c>
      <c r="L72" s="11">
        <v>69.2</v>
      </c>
      <c r="M72" s="4">
        <v>0.65400000000000003</v>
      </c>
      <c r="N72" s="4">
        <v>25</v>
      </c>
      <c r="O72" s="11">
        <v>12.4</v>
      </c>
      <c r="P72" s="11">
        <v>10.199999999999999</v>
      </c>
      <c r="Q72" s="11">
        <v>7</v>
      </c>
      <c r="R72" s="11">
        <v>2</v>
      </c>
      <c r="S72" s="11">
        <v>16.8</v>
      </c>
      <c r="T72" s="11">
        <v>10.6</v>
      </c>
      <c r="U72" s="11">
        <v>1.4</v>
      </c>
      <c r="V72" s="5">
        <v>45978.504594907405</v>
      </c>
      <c r="W72" s="5">
        <v>45978.505023148151</v>
      </c>
      <c r="X72" s="6">
        <v>4.2824074625968933E-4</v>
      </c>
    </row>
    <row r="73" spans="1:24" x14ac:dyDescent="0.3">
      <c r="A73" s="2">
        <v>495</v>
      </c>
      <c r="B73" t="s">
        <v>672</v>
      </c>
      <c r="C73" t="s">
        <v>353</v>
      </c>
      <c r="D73" t="s">
        <v>595</v>
      </c>
      <c r="E73" t="s">
        <v>382</v>
      </c>
      <c r="F73" t="s">
        <v>591</v>
      </c>
      <c r="G73" s="11">
        <v>13.7</v>
      </c>
      <c r="H73" s="11">
        <v>6.2</v>
      </c>
      <c r="I73" s="11">
        <v>4.0999999999999996</v>
      </c>
      <c r="J73" s="11">
        <v>2.5</v>
      </c>
      <c r="K73" s="7">
        <v>0.87</v>
      </c>
      <c r="L73" s="11">
        <v>67.599999999999994</v>
      </c>
      <c r="M73" s="4">
        <v>0.64100000000000001</v>
      </c>
      <c r="N73" s="4">
        <v>25</v>
      </c>
      <c r="O73" s="11">
        <v>15.4</v>
      </c>
      <c r="P73" s="11">
        <v>15.4</v>
      </c>
      <c r="Q73" s="11">
        <v>12.4</v>
      </c>
      <c r="R73" s="11">
        <v>4</v>
      </c>
      <c r="S73" s="11">
        <v>19.8</v>
      </c>
      <c r="T73" s="11">
        <v>6.5</v>
      </c>
      <c r="U73" s="11">
        <v>2.8</v>
      </c>
      <c r="V73" s="5">
        <v>45978.505127314813</v>
      </c>
      <c r="W73" s="5">
        <v>45978.505509259259</v>
      </c>
      <c r="X73" s="6">
        <v>3.8194443914107978E-4</v>
      </c>
    </row>
    <row r="74" spans="1:24" x14ac:dyDescent="0.3">
      <c r="A74" s="2">
        <v>496</v>
      </c>
      <c r="B74" t="s">
        <v>673</v>
      </c>
      <c r="C74" t="s">
        <v>353</v>
      </c>
      <c r="D74" t="s">
        <v>595</v>
      </c>
      <c r="E74" t="s">
        <v>386</v>
      </c>
      <c r="F74" t="s">
        <v>591</v>
      </c>
      <c r="G74" s="11">
        <v>13.9</v>
      </c>
      <c r="H74" s="11">
        <v>6</v>
      </c>
      <c r="I74" s="11">
        <v>3.6</v>
      </c>
      <c r="J74" s="11">
        <v>2.5</v>
      </c>
      <c r="K74" s="7">
        <v>0.74</v>
      </c>
      <c r="L74" s="11">
        <v>69.400000000000006</v>
      </c>
      <c r="M74" s="4">
        <v>0.65100000000000002</v>
      </c>
      <c r="N74" s="4">
        <v>25</v>
      </c>
      <c r="O74" s="11">
        <v>12.1</v>
      </c>
      <c r="P74" s="11">
        <v>12.2</v>
      </c>
      <c r="Q74" s="11">
        <v>8.9</v>
      </c>
      <c r="R74" s="11">
        <v>2</v>
      </c>
      <c r="S74" s="11">
        <v>17.7</v>
      </c>
      <c r="T74" s="11">
        <v>10.6</v>
      </c>
      <c r="U74" s="11">
        <v>0.4</v>
      </c>
      <c r="V74" s="5">
        <v>45978.537349537037</v>
      </c>
      <c r="W74" s="5">
        <v>45978.537488425929</v>
      </c>
      <c r="X74" s="6">
        <v>1.5046296175569296E-4</v>
      </c>
    </row>
    <row r="75" spans="1:24" x14ac:dyDescent="0.3">
      <c r="A75" s="2">
        <v>497</v>
      </c>
      <c r="B75" t="s">
        <v>674</v>
      </c>
      <c r="C75" t="s">
        <v>353</v>
      </c>
      <c r="D75" t="s">
        <v>595</v>
      </c>
      <c r="E75" t="s">
        <v>386</v>
      </c>
      <c r="F75" t="s">
        <v>591</v>
      </c>
      <c r="G75" s="11">
        <v>14.2</v>
      </c>
      <c r="H75" s="11">
        <v>6.1</v>
      </c>
      <c r="I75" s="11">
        <v>3.4</v>
      </c>
      <c r="J75" s="11">
        <v>2.4</v>
      </c>
      <c r="K75" s="7">
        <v>0.74</v>
      </c>
      <c r="L75" s="11">
        <v>69.400000000000006</v>
      </c>
      <c r="M75" s="4">
        <v>0.67100000000000004</v>
      </c>
      <c r="N75" s="4">
        <v>25</v>
      </c>
      <c r="O75" s="11">
        <v>16.2</v>
      </c>
      <c r="P75" s="11">
        <v>14.6</v>
      </c>
      <c r="Q75" s="11">
        <v>10.199999999999999</v>
      </c>
      <c r="R75" s="11">
        <v>4.2</v>
      </c>
      <c r="S75" s="3" t="s">
        <v>421</v>
      </c>
      <c r="T75" s="11">
        <v>11.9</v>
      </c>
      <c r="U75" s="11">
        <v>0.2</v>
      </c>
      <c r="V75" s="5">
        <v>45978.537581018521</v>
      </c>
      <c r="W75" s="5">
        <v>45978.537928240738</v>
      </c>
      <c r="X75" s="6">
        <v>3.4722223062999547E-4</v>
      </c>
    </row>
    <row r="76" spans="1:24" x14ac:dyDescent="0.3">
      <c r="A76" s="2">
        <v>498</v>
      </c>
      <c r="B76" t="s">
        <v>675</v>
      </c>
      <c r="C76" t="s">
        <v>353</v>
      </c>
      <c r="D76" t="s">
        <v>595</v>
      </c>
      <c r="E76" t="s">
        <v>386</v>
      </c>
      <c r="F76" t="s">
        <v>591</v>
      </c>
      <c r="G76" s="11">
        <v>13.9</v>
      </c>
      <c r="H76" s="11">
        <v>6.1</v>
      </c>
      <c r="I76" s="11">
        <v>3.5</v>
      </c>
      <c r="J76" s="11">
        <v>2.4</v>
      </c>
      <c r="K76" s="7">
        <v>0.71</v>
      </c>
      <c r="L76" s="11">
        <v>69.3</v>
      </c>
      <c r="M76" s="4">
        <v>0.66500000000000004</v>
      </c>
      <c r="N76" s="4">
        <v>25</v>
      </c>
      <c r="O76" s="11">
        <v>13.5</v>
      </c>
      <c r="P76" s="11">
        <v>13.1</v>
      </c>
      <c r="Q76" s="11">
        <v>9.1</v>
      </c>
      <c r="R76" s="11">
        <v>2.7</v>
      </c>
      <c r="S76" s="3" t="s">
        <v>421</v>
      </c>
      <c r="T76" s="11">
        <v>11.6</v>
      </c>
      <c r="U76" s="11">
        <v>0.6</v>
      </c>
      <c r="V76" s="5">
        <v>45978.538171296299</v>
      </c>
      <c r="W76" s="5">
        <v>45978.538483796299</v>
      </c>
      <c r="X76" s="6">
        <v>3.2407406251877546E-4</v>
      </c>
    </row>
    <row r="77" spans="1:24" hidden="1" x14ac:dyDescent="0.3">
      <c r="A77" s="2">
        <v>499</v>
      </c>
      <c r="B77" t="s">
        <v>676</v>
      </c>
      <c r="C77" t="s">
        <v>353</v>
      </c>
      <c r="D77" t="s">
        <v>595</v>
      </c>
      <c r="E77" t="s">
        <v>390</v>
      </c>
      <c r="F77" t="s">
        <v>591</v>
      </c>
      <c r="G77" s="11">
        <v>14</v>
      </c>
      <c r="H77" s="11">
        <v>6.4</v>
      </c>
      <c r="I77" s="11">
        <v>3.7</v>
      </c>
      <c r="J77" s="11">
        <v>2.5</v>
      </c>
      <c r="K77" s="7">
        <v>0.88</v>
      </c>
      <c r="L77" s="11">
        <v>68.5</v>
      </c>
      <c r="M77" s="4">
        <v>0.68200000000000005</v>
      </c>
      <c r="N77" s="4">
        <v>25</v>
      </c>
      <c r="O77" s="11">
        <v>10.9</v>
      </c>
      <c r="P77" s="11">
        <v>11.3</v>
      </c>
      <c r="Q77" s="11">
        <v>13.1</v>
      </c>
      <c r="R77" s="11">
        <v>7.8</v>
      </c>
      <c r="S77" s="11">
        <v>10.9</v>
      </c>
      <c r="T77" s="11">
        <v>9.6999999999999993</v>
      </c>
      <c r="U77" s="11">
        <v>2</v>
      </c>
      <c r="V77" s="5">
        <v>45978.549583333333</v>
      </c>
      <c r="W77" s="5">
        <v>45978.549803240741</v>
      </c>
      <c r="X77" s="6">
        <v>2.1990740788169205E-4</v>
      </c>
    </row>
    <row r="78" spans="1:24" hidden="1" x14ac:dyDescent="0.3">
      <c r="A78" s="2">
        <v>500</v>
      </c>
      <c r="B78" t="s">
        <v>677</v>
      </c>
      <c r="C78" t="s">
        <v>353</v>
      </c>
      <c r="D78" t="s">
        <v>595</v>
      </c>
      <c r="E78" t="s">
        <v>390</v>
      </c>
      <c r="F78" t="s">
        <v>591</v>
      </c>
      <c r="G78" s="11">
        <v>13.7</v>
      </c>
      <c r="H78" s="11">
        <v>6.3</v>
      </c>
      <c r="I78" s="11">
        <v>3.6</v>
      </c>
      <c r="J78" s="11">
        <v>2.5</v>
      </c>
      <c r="K78" s="7">
        <v>0.9</v>
      </c>
      <c r="L78" s="11">
        <v>68.7</v>
      </c>
      <c r="M78" s="4">
        <v>0.65200000000000002</v>
      </c>
      <c r="N78" s="4">
        <v>25</v>
      </c>
      <c r="O78" s="11">
        <v>7.5</v>
      </c>
      <c r="P78" s="11">
        <v>10.5</v>
      </c>
      <c r="Q78" s="11">
        <v>8.5</v>
      </c>
      <c r="R78" s="11">
        <v>2.6</v>
      </c>
      <c r="S78" s="11">
        <v>13</v>
      </c>
      <c r="T78" s="11">
        <v>8.1</v>
      </c>
      <c r="U78" s="11">
        <v>0.8</v>
      </c>
      <c r="V78" s="5">
        <v>45978.549988425926</v>
      </c>
      <c r="W78" s="5">
        <v>45978.550173611111</v>
      </c>
      <c r="X78" s="6">
        <v>1.8518519937060773E-4</v>
      </c>
    </row>
    <row r="79" spans="1:24" hidden="1" x14ac:dyDescent="0.3">
      <c r="A79" s="2">
        <v>501</v>
      </c>
      <c r="B79" t="s">
        <v>678</v>
      </c>
      <c r="C79" t="s">
        <v>353</v>
      </c>
      <c r="D79" t="s">
        <v>595</v>
      </c>
      <c r="E79" t="s">
        <v>390</v>
      </c>
      <c r="F79" t="s">
        <v>591</v>
      </c>
      <c r="G79" s="3" t="s">
        <v>54</v>
      </c>
      <c r="H79" s="11">
        <v>32.9</v>
      </c>
      <c r="I79" s="11">
        <v>5.6</v>
      </c>
      <c r="J79" s="3" t="s">
        <v>54</v>
      </c>
      <c r="K79" s="7">
        <v>2.33</v>
      </c>
      <c r="L79" s="11">
        <v>49.2</v>
      </c>
      <c r="M79" s="4">
        <v>0.505</v>
      </c>
      <c r="N79" s="4">
        <v>25</v>
      </c>
      <c r="O79" s="3" t="s">
        <v>253</v>
      </c>
      <c r="P79" s="3" t="s">
        <v>321</v>
      </c>
      <c r="Q79" s="3" t="s">
        <v>319</v>
      </c>
      <c r="R79" s="3" t="s">
        <v>68</v>
      </c>
      <c r="S79" s="3" t="s">
        <v>421</v>
      </c>
      <c r="T79" s="3" t="s">
        <v>632</v>
      </c>
      <c r="U79" s="3" t="s">
        <v>254</v>
      </c>
      <c r="V79" s="5">
        <v>45978.550300925926</v>
      </c>
      <c r="W79" s="5">
        <v>45978.550451388888</v>
      </c>
      <c r="X79" s="6">
        <v>1.5046296175569296E-4</v>
      </c>
    </row>
    <row r="80" spans="1:24" hidden="1" x14ac:dyDescent="0.3">
      <c r="B80" s="1" t="s">
        <v>42</v>
      </c>
      <c r="G80" s="9">
        <f t="shared" ref="G80:U80" si="0">AVERAGE(G4:G79)</f>
        <v>15.294444444444444</v>
      </c>
      <c r="H80" s="9">
        <f t="shared" si="0"/>
        <v>9.3434210526315766</v>
      </c>
      <c r="I80" s="9">
        <f t="shared" si="0"/>
        <v>3.5651515151515132</v>
      </c>
      <c r="J80" s="9">
        <f t="shared" si="0"/>
        <v>2.6648648648648656</v>
      </c>
      <c r="K80" s="8">
        <f t="shared" si="0"/>
        <v>0.78690140845070433</v>
      </c>
      <c r="L80" s="9">
        <f t="shared" si="0"/>
        <v>65.850684931506848</v>
      </c>
      <c r="M80" s="10">
        <f t="shared" si="0"/>
        <v>0.68263513513513541</v>
      </c>
      <c r="N80" s="10">
        <f t="shared" si="0"/>
        <v>25</v>
      </c>
      <c r="O80" s="9">
        <f t="shared" si="0"/>
        <v>14.35161290322581</v>
      </c>
      <c r="P80" s="9">
        <f t="shared" si="0"/>
        <v>14.240322580645161</v>
      </c>
      <c r="Q80" s="9">
        <f t="shared" si="0"/>
        <v>12.911290322580648</v>
      </c>
      <c r="R80" s="9">
        <f t="shared" si="0"/>
        <v>4.9931034482758596</v>
      </c>
      <c r="S80" s="9">
        <f t="shared" si="0"/>
        <v>13.190196078431372</v>
      </c>
      <c r="T80" s="9">
        <f t="shared" si="0"/>
        <v>12.310937500000007</v>
      </c>
      <c r="U80" s="9">
        <f t="shared" si="0"/>
        <v>6.3166666666666655</v>
      </c>
    </row>
    <row r="81" spans="2:21" hidden="1" x14ac:dyDescent="0.3">
      <c r="B81" s="1" t="s">
        <v>43</v>
      </c>
      <c r="G81" s="9">
        <f t="shared" ref="G81:U81" si="1">MIN(G4:G79)</f>
        <v>3.8</v>
      </c>
      <c r="H81" s="9">
        <f t="shared" si="1"/>
        <v>5.7</v>
      </c>
      <c r="I81" s="9">
        <f t="shared" si="1"/>
        <v>0.2</v>
      </c>
      <c r="J81" s="9">
        <f t="shared" si="1"/>
        <v>0.8</v>
      </c>
      <c r="K81" s="8">
        <f t="shared" si="1"/>
        <v>0.03</v>
      </c>
      <c r="L81" s="9">
        <f t="shared" si="1"/>
        <v>31.8</v>
      </c>
      <c r="M81" s="10">
        <f t="shared" si="1"/>
        <v>0.307</v>
      </c>
      <c r="N81" s="10">
        <f t="shared" si="1"/>
        <v>25</v>
      </c>
      <c r="O81" s="9">
        <f t="shared" si="1"/>
        <v>6.2</v>
      </c>
      <c r="P81" s="9">
        <f t="shared" si="1"/>
        <v>5.6</v>
      </c>
      <c r="Q81" s="9">
        <f t="shared" si="1"/>
        <v>4.3</v>
      </c>
      <c r="R81" s="9">
        <f t="shared" si="1"/>
        <v>1.2</v>
      </c>
      <c r="S81" s="9">
        <f t="shared" si="1"/>
        <v>7.1</v>
      </c>
      <c r="T81" s="9">
        <f t="shared" si="1"/>
        <v>2.7</v>
      </c>
      <c r="U81" s="9">
        <f t="shared" si="1"/>
        <v>0.1</v>
      </c>
    </row>
    <row r="82" spans="2:21" hidden="1" x14ac:dyDescent="0.3">
      <c r="B82" s="1" t="s">
        <v>44</v>
      </c>
      <c r="G82" s="9">
        <f t="shared" ref="G82:U82" si="2">MAX(G4:G79)</f>
        <v>34.299999999999997</v>
      </c>
      <c r="H82" s="9">
        <f t="shared" si="2"/>
        <v>48.9</v>
      </c>
      <c r="I82" s="9">
        <f t="shared" si="2"/>
        <v>5.6</v>
      </c>
      <c r="J82" s="9">
        <f t="shared" si="2"/>
        <v>7.3</v>
      </c>
      <c r="K82" s="8">
        <f t="shared" si="2"/>
        <v>2.33</v>
      </c>
      <c r="L82" s="9">
        <f t="shared" si="2"/>
        <v>70.5</v>
      </c>
      <c r="M82" s="10">
        <f t="shared" si="2"/>
        <v>0.93899999999999995</v>
      </c>
      <c r="N82" s="10">
        <f t="shared" si="2"/>
        <v>25</v>
      </c>
      <c r="O82" s="9">
        <f t="shared" si="2"/>
        <v>51.7</v>
      </c>
      <c r="P82" s="9">
        <f t="shared" si="2"/>
        <v>54.8</v>
      </c>
      <c r="Q82" s="9">
        <f t="shared" si="2"/>
        <v>48.6</v>
      </c>
      <c r="R82" s="9">
        <f t="shared" si="2"/>
        <v>36.9</v>
      </c>
      <c r="S82" s="9">
        <f t="shared" si="2"/>
        <v>19.8</v>
      </c>
      <c r="T82" s="9">
        <f t="shared" si="2"/>
        <v>66.599999999999994</v>
      </c>
      <c r="U82" s="9">
        <f t="shared" si="2"/>
        <v>85.5</v>
      </c>
    </row>
    <row r="83" spans="2:21" hidden="1" x14ac:dyDescent="0.3">
      <c r="B83" s="1" t="s">
        <v>45</v>
      </c>
      <c r="G83" s="9">
        <f t="shared" ref="G83:U83" si="3">STDEV(G4:G79)</f>
        <v>4.7030373430785204</v>
      </c>
      <c r="H83" s="9">
        <f t="shared" si="3"/>
        <v>8.9698656329782445</v>
      </c>
      <c r="I83" s="9">
        <f t="shared" si="3"/>
        <v>0.70895208132360676</v>
      </c>
      <c r="J83" s="9">
        <f t="shared" si="3"/>
        <v>0.80672387230443721</v>
      </c>
      <c r="K83" s="8">
        <f t="shared" si="3"/>
        <v>0.31098732886127928</v>
      </c>
      <c r="L83" s="9">
        <f t="shared" si="3"/>
        <v>6.5025235120184774</v>
      </c>
      <c r="M83" s="10">
        <f t="shared" si="3"/>
        <v>8.7585508015679076E-2</v>
      </c>
      <c r="N83" s="10">
        <f t="shared" si="3"/>
        <v>0</v>
      </c>
      <c r="O83" s="9">
        <f t="shared" si="3"/>
        <v>10.900981185128209</v>
      </c>
      <c r="P83" s="9">
        <f t="shared" si="3"/>
        <v>10.531443312998068</v>
      </c>
      <c r="Q83" s="9">
        <f t="shared" si="3"/>
        <v>9.8580266844360036</v>
      </c>
      <c r="R83" s="9">
        <f t="shared" si="3"/>
        <v>6.1254963871600436</v>
      </c>
      <c r="S83" s="9">
        <f t="shared" si="3"/>
        <v>3.527619871922766</v>
      </c>
      <c r="T83" s="9">
        <f t="shared" si="3"/>
        <v>12.511291626157618</v>
      </c>
      <c r="U83" s="9">
        <f t="shared" si="3"/>
        <v>15.862966870945613</v>
      </c>
    </row>
    <row r="85" spans="2:21" x14ac:dyDescent="0.3">
      <c r="B85" s="1" t="s">
        <v>46</v>
      </c>
      <c r="G85" s="9" t="s">
        <v>47</v>
      </c>
      <c r="H85" s="9" t="s">
        <v>47</v>
      </c>
      <c r="I85" s="9" t="s">
        <v>47</v>
      </c>
      <c r="J85" s="9" t="s">
        <v>47</v>
      </c>
      <c r="K85" s="8" t="s">
        <v>47</v>
      </c>
      <c r="L85" s="9" t="s">
        <v>47</v>
      </c>
      <c r="M85" s="10" t="s">
        <v>47</v>
      </c>
      <c r="N85" s="10" t="s">
        <v>47</v>
      </c>
      <c r="O85" s="9" t="s">
        <v>47</v>
      </c>
      <c r="P85" s="9" t="s">
        <v>47</v>
      </c>
      <c r="Q85" s="9" t="s">
        <v>47</v>
      </c>
      <c r="R85" s="9" t="s">
        <v>47</v>
      </c>
      <c r="S85" s="9" t="s">
        <v>47</v>
      </c>
      <c r="T85" s="9" t="s">
        <v>47</v>
      </c>
      <c r="U85" s="9" t="s">
        <v>47</v>
      </c>
    </row>
  </sheetData>
  <autoFilter ref="A3:X83" xr:uid="{83A1AB42-F455-4610-925B-1587E1AA7B0F}">
    <filterColumn colId="2">
      <filters>
        <filter val="223FG007"/>
      </filters>
    </filterColumn>
    <filterColumn colId="4">
      <filters>
        <filter val="L1 - NBL"/>
        <filter val="L1 APM - BLF"/>
        <filter val="L1 APM - LBFNB"/>
        <filter val="L2 APM - BLFNB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E2EB-878F-467D-BFFE-B488931EA7D6}">
  <dimension ref="A1:V83"/>
  <sheetViews>
    <sheetView workbookViewId="0"/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679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19</v>
      </c>
      <c r="N3" s="2" t="s">
        <v>13</v>
      </c>
      <c r="O3" s="2" t="s">
        <v>14</v>
      </c>
      <c r="P3" s="2" t="s">
        <v>396</v>
      </c>
      <c r="Q3" s="2" t="s">
        <v>16</v>
      </c>
      <c r="R3" s="2" t="s">
        <v>17</v>
      </c>
      <c r="S3" s="2" t="s">
        <v>18</v>
      </c>
      <c r="T3" s="2" t="s">
        <v>20</v>
      </c>
      <c r="U3" s="2" t="s">
        <v>21</v>
      </c>
      <c r="V3" s="2" t="s">
        <v>22</v>
      </c>
    </row>
    <row r="4" spans="1:22" x14ac:dyDescent="0.3">
      <c r="A4" s="2">
        <v>502</v>
      </c>
      <c r="B4" t="s">
        <v>680</v>
      </c>
      <c r="C4" t="s">
        <v>24</v>
      </c>
      <c r="D4" t="s">
        <v>681</v>
      </c>
      <c r="E4" t="s">
        <v>26</v>
      </c>
      <c r="F4" t="s">
        <v>679</v>
      </c>
      <c r="G4" s="11">
        <v>14.1</v>
      </c>
      <c r="H4" s="11">
        <v>8.4</v>
      </c>
      <c r="I4" s="11">
        <v>1.5</v>
      </c>
      <c r="J4" s="11">
        <v>3</v>
      </c>
      <c r="K4" s="11">
        <v>1.2</v>
      </c>
      <c r="L4" s="11">
        <v>60.4</v>
      </c>
      <c r="M4" s="4">
        <v>25</v>
      </c>
      <c r="N4" s="11">
        <v>6.9</v>
      </c>
      <c r="O4" s="11">
        <v>5.6</v>
      </c>
      <c r="P4" s="11">
        <v>4.8</v>
      </c>
      <c r="Q4" s="11">
        <v>5</v>
      </c>
      <c r="R4" s="3" t="s">
        <v>682</v>
      </c>
      <c r="S4" s="11">
        <v>3.4</v>
      </c>
      <c r="T4" s="5">
        <v>45972.416458333333</v>
      </c>
      <c r="U4" s="5">
        <v>45972.416631944441</v>
      </c>
      <c r="V4" s="6">
        <v>1.736111007630825E-4</v>
      </c>
    </row>
    <row r="5" spans="1:22" x14ac:dyDescent="0.3">
      <c r="A5" s="2">
        <v>503</v>
      </c>
      <c r="B5" t="s">
        <v>683</v>
      </c>
      <c r="C5" t="s">
        <v>24</v>
      </c>
      <c r="D5" t="s">
        <v>684</v>
      </c>
      <c r="E5" t="s">
        <v>26</v>
      </c>
      <c r="F5" t="s">
        <v>679</v>
      </c>
      <c r="G5" s="11">
        <v>14.2</v>
      </c>
      <c r="H5" s="11">
        <v>8</v>
      </c>
      <c r="I5" s="11">
        <v>1.5</v>
      </c>
      <c r="J5" s="11">
        <v>3.1</v>
      </c>
      <c r="K5" s="11">
        <v>1.3</v>
      </c>
      <c r="L5" s="11">
        <v>59.3</v>
      </c>
      <c r="M5" s="4">
        <v>25</v>
      </c>
      <c r="N5" s="11">
        <v>8</v>
      </c>
      <c r="O5" s="11">
        <v>6.1</v>
      </c>
      <c r="P5" s="11">
        <v>5.2</v>
      </c>
      <c r="Q5" s="11">
        <v>4.5</v>
      </c>
      <c r="R5" s="3" t="s">
        <v>682</v>
      </c>
      <c r="S5" s="11">
        <v>3.6</v>
      </c>
      <c r="T5" s="5">
        <v>45972.419016203705</v>
      </c>
      <c r="U5" s="5">
        <v>45972.419131944444</v>
      </c>
      <c r="V5" s="6">
        <v>1.2731482274830341E-4</v>
      </c>
    </row>
    <row r="6" spans="1:22" x14ac:dyDescent="0.3">
      <c r="A6" s="2">
        <v>504</v>
      </c>
      <c r="B6" t="s">
        <v>685</v>
      </c>
      <c r="C6" t="s">
        <v>24</v>
      </c>
      <c r="D6" t="s">
        <v>686</v>
      </c>
      <c r="E6" t="s">
        <v>26</v>
      </c>
      <c r="F6" t="s">
        <v>679</v>
      </c>
      <c r="G6" s="11">
        <v>14.1</v>
      </c>
      <c r="H6" s="11">
        <v>8.4</v>
      </c>
      <c r="I6" s="11">
        <v>1.6</v>
      </c>
      <c r="J6" s="11">
        <v>3.3</v>
      </c>
      <c r="K6" s="11">
        <v>1.4</v>
      </c>
      <c r="L6" s="11">
        <v>58.9</v>
      </c>
      <c r="M6" s="4">
        <v>25</v>
      </c>
      <c r="N6" s="11">
        <v>7.2</v>
      </c>
      <c r="O6" s="11">
        <v>5.9</v>
      </c>
      <c r="P6" s="11">
        <v>8.4</v>
      </c>
      <c r="Q6" s="11">
        <v>5.9</v>
      </c>
      <c r="R6" s="3" t="s">
        <v>682</v>
      </c>
      <c r="S6" s="11">
        <v>4.2</v>
      </c>
      <c r="T6" s="5">
        <v>45972.419282407405</v>
      </c>
      <c r="U6" s="5">
        <v>45972.419537037036</v>
      </c>
      <c r="V6" s="6">
        <v>2.430555468890816E-4</v>
      </c>
    </row>
    <row r="7" spans="1:22" x14ac:dyDescent="0.3">
      <c r="A7" s="2">
        <v>505</v>
      </c>
      <c r="B7" t="s">
        <v>687</v>
      </c>
      <c r="C7" t="s">
        <v>24</v>
      </c>
      <c r="D7" t="s">
        <v>688</v>
      </c>
      <c r="E7" t="s">
        <v>26</v>
      </c>
      <c r="F7" t="s">
        <v>679</v>
      </c>
      <c r="G7" s="11">
        <v>14.3</v>
      </c>
      <c r="H7" s="11">
        <v>7.6</v>
      </c>
      <c r="I7" s="11">
        <v>1.5</v>
      </c>
      <c r="J7" s="11">
        <v>3.2</v>
      </c>
      <c r="K7" s="11">
        <v>1.3</v>
      </c>
      <c r="L7" s="11">
        <v>58.9</v>
      </c>
      <c r="M7" s="4">
        <v>25</v>
      </c>
      <c r="N7" s="11">
        <v>9.6999999999999993</v>
      </c>
      <c r="O7" s="11">
        <v>8.6999999999999993</v>
      </c>
      <c r="P7" s="11">
        <v>7.3</v>
      </c>
      <c r="Q7" s="11">
        <v>6.7</v>
      </c>
      <c r="R7" s="3" t="s">
        <v>682</v>
      </c>
      <c r="S7" s="11">
        <v>3.3</v>
      </c>
      <c r="T7" s="5">
        <v>45972.441550925927</v>
      </c>
      <c r="U7" s="5">
        <v>45972.441759259258</v>
      </c>
      <c r="V7" s="6">
        <v>1.9675926887430251E-4</v>
      </c>
    </row>
    <row r="8" spans="1:22" x14ac:dyDescent="0.3">
      <c r="A8" s="2">
        <v>506</v>
      </c>
      <c r="B8" t="s">
        <v>689</v>
      </c>
      <c r="C8" t="s">
        <v>24</v>
      </c>
      <c r="D8" t="s">
        <v>684</v>
      </c>
      <c r="E8" t="s">
        <v>26</v>
      </c>
      <c r="F8" t="s">
        <v>679</v>
      </c>
      <c r="G8" s="11">
        <v>14.4</v>
      </c>
      <c r="H8" s="11">
        <v>7.7</v>
      </c>
      <c r="I8" s="11">
        <v>1.5</v>
      </c>
      <c r="J8" s="11">
        <v>3.8</v>
      </c>
      <c r="K8" s="11">
        <v>1.4</v>
      </c>
      <c r="L8" s="11">
        <v>57</v>
      </c>
      <c r="M8" s="4">
        <v>25</v>
      </c>
      <c r="N8" s="11">
        <v>11.5</v>
      </c>
      <c r="O8" s="11">
        <v>13.2</v>
      </c>
      <c r="P8" s="3" t="s">
        <v>690</v>
      </c>
      <c r="Q8" s="11">
        <v>8.9</v>
      </c>
      <c r="R8" s="11">
        <v>8.4</v>
      </c>
      <c r="S8" s="11">
        <v>5.4</v>
      </c>
      <c r="T8" s="5">
        <v>45972.441851851851</v>
      </c>
      <c r="U8" s="5">
        <v>45972.442060185182</v>
      </c>
      <c r="V8" s="6">
        <v>2.0833333837799728E-4</v>
      </c>
    </row>
    <row r="9" spans="1:22" x14ac:dyDescent="0.3">
      <c r="A9" s="2">
        <v>507</v>
      </c>
      <c r="B9" t="s">
        <v>691</v>
      </c>
      <c r="C9" t="s">
        <v>24</v>
      </c>
      <c r="D9" t="s">
        <v>686</v>
      </c>
      <c r="E9" t="s">
        <v>26</v>
      </c>
      <c r="F9" t="s">
        <v>679</v>
      </c>
      <c r="G9" s="11">
        <v>14.5</v>
      </c>
      <c r="H9" s="11">
        <v>7.5</v>
      </c>
      <c r="I9" s="11">
        <v>1.5</v>
      </c>
      <c r="J9" s="11">
        <v>3.9</v>
      </c>
      <c r="K9" s="11">
        <v>1.5</v>
      </c>
      <c r="L9" s="11">
        <v>56</v>
      </c>
      <c r="M9" s="4">
        <v>25</v>
      </c>
      <c r="N9" s="11">
        <v>13</v>
      </c>
      <c r="O9" s="11">
        <v>13.8</v>
      </c>
      <c r="P9" s="11">
        <v>12.9</v>
      </c>
      <c r="Q9" s="11">
        <v>10.4</v>
      </c>
      <c r="R9" s="11">
        <v>8.1999999999999993</v>
      </c>
      <c r="S9" s="11">
        <v>7.2</v>
      </c>
      <c r="T9" s="5">
        <v>45972.442199074074</v>
      </c>
      <c r="U9" s="5">
        <v>45972.442314814813</v>
      </c>
      <c r="V9" s="6">
        <v>1.2731482274830341E-4</v>
      </c>
    </row>
    <row r="10" spans="1:22" x14ac:dyDescent="0.3">
      <c r="A10" s="2">
        <v>508</v>
      </c>
      <c r="B10" t="s">
        <v>692</v>
      </c>
      <c r="C10" t="s">
        <v>137</v>
      </c>
      <c r="D10" t="s">
        <v>688</v>
      </c>
      <c r="E10" t="s">
        <v>26</v>
      </c>
      <c r="F10" t="s">
        <v>679</v>
      </c>
      <c r="G10" s="11">
        <v>15.7</v>
      </c>
      <c r="H10" s="11">
        <v>12.3</v>
      </c>
      <c r="I10" s="11">
        <v>1.8</v>
      </c>
      <c r="J10" s="11">
        <v>4.5</v>
      </c>
      <c r="K10" s="11">
        <v>1.3</v>
      </c>
      <c r="L10" s="11">
        <v>58.7</v>
      </c>
      <c r="M10" s="4">
        <v>25</v>
      </c>
      <c r="N10" s="11">
        <v>22.6</v>
      </c>
      <c r="O10" s="11">
        <v>26.3</v>
      </c>
      <c r="P10" s="3" t="s">
        <v>690</v>
      </c>
      <c r="Q10" s="3" t="s">
        <v>693</v>
      </c>
      <c r="R10" s="3" t="s">
        <v>682</v>
      </c>
      <c r="S10" s="11">
        <v>35.200000000000003</v>
      </c>
      <c r="T10" s="5">
        <v>45972.531053240738</v>
      </c>
      <c r="U10" s="5">
        <v>45972.531192129631</v>
      </c>
      <c r="V10" s="6">
        <v>1.3888889225199819E-4</v>
      </c>
    </row>
    <row r="11" spans="1:22" x14ac:dyDescent="0.3">
      <c r="A11" s="2">
        <v>509</v>
      </c>
      <c r="B11" t="s">
        <v>694</v>
      </c>
      <c r="C11" t="s">
        <v>137</v>
      </c>
      <c r="D11" t="s">
        <v>684</v>
      </c>
      <c r="E11" t="s">
        <v>26</v>
      </c>
      <c r="F11" t="s">
        <v>679</v>
      </c>
      <c r="G11" s="11">
        <v>15.4</v>
      </c>
      <c r="H11" s="11">
        <v>12.9</v>
      </c>
      <c r="I11" s="11">
        <v>2.2000000000000002</v>
      </c>
      <c r="J11" s="11">
        <v>4.3</v>
      </c>
      <c r="K11" s="11">
        <v>1.4</v>
      </c>
      <c r="L11" s="11">
        <v>60.6</v>
      </c>
      <c r="M11" s="4">
        <v>25</v>
      </c>
      <c r="N11" s="11">
        <v>22.4</v>
      </c>
      <c r="O11" s="11">
        <v>26.3</v>
      </c>
      <c r="P11" s="3" t="s">
        <v>690</v>
      </c>
      <c r="Q11" s="3" t="s">
        <v>693</v>
      </c>
      <c r="R11" s="3" t="s">
        <v>682</v>
      </c>
      <c r="S11" s="11">
        <v>39.200000000000003</v>
      </c>
      <c r="T11" s="5">
        <v>45972.531319444446</v>
      </c>
      <c r="U11" s="5">
        <v>45972.531689814816</v>
      </c>
      <c r="V11" s="6">
        <v>3.5879630013369024E-4</v>
      </c>
    </row>
    <row r="12" spans="1:22" x14ac:dyDescent="0.3">
      <c r="A12" s="2">
        <v>510</v>
      </c>
      <c r="B12" t="s">
        <v>695</v>
      </c>
      <c r="C12" t="s">
        <v>137</v>
      </c>
      <c r="D12" t="s">
        <v>686</v>
      </c>
      <c r="E12" t="s">
        <v>26</v>
      </c>
      <c r="F12" t="s">
        <v>679</v>
      </c>
      <c r="G12" s="11">
        <v>15.7</v>
      </c>
      <c r="H12" s="11">
        <v>12.9</v>
      </c>
      <c r="I12" s="11">
        <v>2.1</v>
      </c>
      <c r="J12" s="11">
        <v>4.4000000000000004</v>
      </c>
      <c r="K12" s="11">
        <v>1.5</v>
      </c>
      <c r="L12" s="11">
        <v>57.9</v>
      </c>
      <c r="M12" s="4">
        <v>25</v>
      </c>
      <c r="N12" s="11">
        <v>26</v>
      </c>
      <c r="O12" s="11">
        <v>25.6</v>
      </c>
      <c r="P12" s="3" t="s">
        <v>690</v>
      </c>
      <c r="Q12" s="3" t="s">
        <v>693</v>
      </c>
      <c r="R12" s="3" t="s">
        <v>682</v>
      </c>
      <c r="S12" s="11">
        <v>36.799999999999997</v>
      </c>
      <c r="T12" s="5">
        <v>45972.531828703701</v>
      </c>
      <c r="U12" s="5">
        <v>45972.532037037039</v>
      </c>
      <c r="V12" s="6">
        <v>2.0833333837799728E-4</v>
      </c>
    </row>
    <row r="13" spans="1:22" x14ac:dyDescent="0.3">
      <c r="A13" s="2">
        <v>511</v>
      </c>
      <c r="B13" t="s">
        <v>696</v>
      </c>
      <c r="C13" t="s">
        <v>137</v>
      </c>
      <c r="D13" t="s">
        <v>688</v>
      </c>
      <c r="E13" t="s">
        <v>26</v>
      </c>
      <c r="F13" t="s">
        <v>679</v>
      </c>
      <c r="G13" s="11">
        <v>15.7</v>
      </c>
      <c r="H13" s="11">
        <v>12.6</v>
      </c>
      <c r="I13" s="11">
        <v>1.7</v>
      </c>
      <c r="J13" s="11">
        <v>4</v>
      </c>
      <c r="K13" s="11">
        <v>1.2</v>
      </c>
      <c r="L13" s="11">
        <v>59.5</v>
      </c>
      <c r="M13" s="4">
        <v>25</v>
      </c>
      <c r="N13" s="11">
        <v>18.2</v>
      </c>
      <c r="O13" s="11">
        <v>22.1</v>
      </c>
      <c r="P13" s="3" t="s">
        <v>690</v>
      </c>
      <c r="Q13" s="3" t="s">
        <v>693</v>
      </c>
      <c r="R13" s="3" t="s">
        <v>682</v>
      </c>
      <c r="S13" s="11">
        <v>31.6</v>
      </c>
      <c r="T13" s="5">
        <v>45972.577916666669</v>
      </c>
      <c r="U13" s="5">
        <v>45972.578043981484</v>
      </c>
      <c r="V13" s="6">
        <v>1.2731482274830341E-4</v>
      </c>
    </row>
    <row r="14" spans="1:22" x14ac:dyDescent="0.3">
      <c r="A14" s="2">
        <v>512</v>
      </c>
      <c r="B14" t="s">
        <v>697</v>
      </c>
      <c r="C14" t="s">
        <v>137</v>
      </c>
      <c r="D14" t="s">
        <v>684</v>
      </c>
      <c r="E14" t="s">
        <v>26</v>
      </c>
      <c r="F14" t="s">
        <v>679</v>
      </c>
      <c r="G14" s="11">
        <v>16</v>
      </c>
      <c r="H14" s="11">
        <v>12.6</v>
      </c>
      <c r="I14" s="11">
        <v>1.9</v>
      </c>
      <c r="J14" s="11">
        <v>4.0999999999999996</v>
      </c>
      <c r="K14" s="11">
        <v>1.2</v>
      </c>
      <c r="L14" s="11">
        <v>60.4</v>
      </c>
      <c r="M14" s="4">
        <v>25</v>
      </c>
      <c r="N14" s="11">
        <v>17.3</v>
      </c>
      <c r="O14" s="11">
        <v>23.3</v>
      </c>
      <c r="P14" s="3" t="s">
        <v>690</v>
      </c>
      <c r="Q14" s="3" t="s">
        <v>693</v>
      </c>
      <c r="R14" s="3" t="s">
        <v>682</v>
      </c>
      <c r="S14" s="11">
        <v>29.8</v>
      </c>
      <c r="T14" s="5">
        <v>45972.578194444446</v>
      </c>
      <c r="U14" s="5">
        <v>45972.578333333331</v>
      </c>
      <c r="V14" s="6">
        <v>1.2731482274830341E-4</v>
      </c>
    </row>
    <row r="15" spans="1:22" x14ac:dyDescent="0.3">
      <c r="A15" s="2">
        <v>513</v>
      </c>
      <c r="B15" t="s">
        <v>698</v>
      </c>
      <c r="C15" t="s">
        <v>137</v>
      </c>
      <c r="D15" t="s">
        <v>686</v>
      </c>
      <c r="E15" t="s">
        <v>26</v>
      </c>
      <c r="F15" t="s">
        <v>679</v>
      </c>
      <c r="G15" s="11">
        <v>15.8</v>
      </c>
      <c r="H15" s="11">
        <v>12.1</v>
      </c>
      <c r="I15" s="11">
        <v>1.5</v>
      </c>
      <c r="J15" s="11">
        <v>4.3</v>
      </c>
      <c r="K15" s="11">
        <v>1.3</v>
      </c>
      <c r="L15" s="11">
        <v>57.3</v>
      </c>
      <c r="M15" s="4">
        <v>25</v>
      </c>
      <c r="N15" s="11">
        <v>20.8</v>
      </c>
      <c r="O15" s="11">
        <v>19.399999999999999</v>
      </c>
      <c r="P15" s="3" t="s">
        <v>690</v>
      </c>
      <c r="Q15" s="3" t="s">
        <v>693</v>
      </c>
      <c r="R15" s="3" t="s">
        <v>682</v>
      </c>
      <c r="S15" s="11">
        <v>29.3</v>
      </c>
      <c r="T15" s="5">
        <v>45972.578460648147</v>
      </c>
      <c r="U15" s="5">
        <v>45972.578599537039</v>
      </c>
      <c r="V15" s="6">
        <v>1.2731482274830341E-4</v>
      </c>
    </row>
    <row r="16" spans="1:22" x14ac:dyDescent="0.3">
      <c r="A16" s="2">
        <v>514</v>
      </c>
      <c r="B16" t="s">
        <v>699</v>
      </c>
      <c r="C16" t="s">
        <v>24</v>
      </c>
      <c r="D16" t="s">
        <v>688</v>
      </c>
      <c r="E16" t="s">
        <v>26</v>
      </c>
      <c r="F16" t="s">
        <v>679</v>
      </c>
      <c r="G16" s="11">
        <v>14.4</v>
      </c>
      <c r="H16" s="11">
        <v>7.3</v>
      </c>
      <c r="I16" s="11">
        <v>1.7</v>
      </c>
      <c r="J16" s="11">
        <v>3.7</v>
      </c>
      <c r="K16" s="11">
        <v>1.4</v>
      </c>
      <c r="L16" s="11">
        <v>57.7</v>
      </c>
      <c r="M16" s="4">
        <v>25</v>
      </c>
      <c r="N16" s="11">
        <v>10.199999999999999</v>
      </c>
      <c r="O16" s="11">
        <v>12.8</v>
      </c>
      <c r="P16" s="11">
        <v>13</v>
      </c>
      <c r="Q16" s="11">
        <v>7.3</v>
      </c>
      <c r="R16" s="11">
        <v>9</v>
      </c>
      <c r="S16" s="11">
        <v>3.3</v>
      </c>
      <c r="T16" s="5">
        <v>45972.60527777778</v>
      </c>
      <c r="U16" s="5">
        <v>45972.605393518519</v>
      </c>
      <c r="V16" s="6">
        <v>1.1574075324460864E-4</v>
      </c>
    </row>
    <row r="17" spans="1:22" x14ac:dyDescent="0.3">
      <c r="A17" s="2">
        <v>515</v>
      </c>
      <c r="B17" t="s">
        <v>700</v>
      </c>
      <c r="C17" t="s">
        <v>24</v>
      </c>
      <c r="D17" t="s">
        <v>684</v>
      </c>
      <c r="E17" t="s">
        <v>26</v>
      </c>
      <c r="F17" t="s">
        <v>679</v>
      </c>
      <c r="G17" s="11">
        <v>14.4</v>
      </c>
      <c r="H17" s="11">
        <v>7.6</v>
      </c>
      <c r="I17" s="11">
        <v>1.6</v>
      </c>
      <c r="J17" s="11">
        <v>3.7</v>
      </c>
      <c r="K17" s="11">
        <v>1.4</v>
      </c>
      <c r="L17" s="11">
        <v>57.2</v>
      </c>
      <c r="M17" s="4">
        <v>25</v>
      </c>
      <c r="N17" s="11">
        <v>10.1</v>
      </c>
      <c r="O17" s="11">
        <v>10.3</v>
      </c>
      <c r="P17" s="11">
        <v>12.4</v>
      </c>
      <c r="Q17" s="11">
        <v>7</v>
      </c>
      <c r="R17" s="11">
        <v>8.6</v>
      </c>
      <c r="S17" s="11">
        <v>4</v>
      </c>
      <c r="T17" s="5">
        <v>45972.605520833335</v>
      </c>
      <c r="U17" s="5">
        <v>45972.605636574073</v>
      </c>
      <c r="V17" s="6">
        <v>1.1574075324460864E-4</v>
      </c>
    </row>
    <row r="18" spans="1:22" x14ac:dyDescent="0.3">
      <c r="A18" s="2">
        <v>516</v>
      </c>
      <c r="B18" t="s">
        <v>701</v>
      </c>
      <c r="C18" t="s">
        <v>24</v>
      </c>
      <c r="D18" t="s">
        <v>686</v>
      </c>
      <c r="E18" t="s">
        <v>26</v>
      </c>
      <c r="F18" t="s">
        <v>679</v>
      </c>
      <c r="G18" s="11">
        <v>14.4</v>
      </c>
      <c r="H18" s="11">
        <v>7.8</v>
      </c>
      <c r="I18" s="11">
        <v>1.6</v>
      </c>
      <c r="J18" s="11">
        <v>3.8</v>
      </c>
      <c r="K18" s="11">
        <v>1.3</v>
      </c>
      <c r="L18" s="11">
        <v>58.2</v>
      </c>
      <c r="M18" s="4">
        <v>25</v>
      </c>
      <c r="N18" s="11">
        <v>12.1</v>
      </c>
      <c r="O18" s="11">
        <v>12.9</v>
      </c>
      <c r="P18" s="3" t="s">
        <v>690</v>
      </c>
      <c r="Q18" s="11">
        <v>8.9</v>
      </c>
      <c r="R18" s="11">
        <v>7.8</v>
      </c>
      <c r="S18" s="11">
        <v>4.3</v>
      </c>
      <c r="T18" s="5">
        <v>45972.605868055558</v>
      </c>
      <c r="U18" s="5">
        <v>45972.606030092589</v>
      </c>
      <c r="V18" s="6">
        <v>1.6203703125938773E-4</v>
      </c>
    </row>
    <row r="19" spans="1:22" x14ac:dyDescent="0.3">
      <c r="A19" s="2">
        <v>517</v>
      </c>
      <c r="B19" t="s">
        <v>702</v>
      </c>
      <c r="C19" t="s">
        <v>24</v>
      </c>
      <c r="D19" t="s">
        <v>681</v>
      </c>
      <c r="E19" t="s">
        <v>26</v>
      </c>
      <c r="F19" t="s">
        <v>679</v>
      </c>
      <c r="G19" s="11">
        <v>14</v>
      </c>
      <c r="H19" s="11">
        <v>8.4</v>
      </c>
      <c r="I19" s="11">
        <v>1.5</v>
      </c>
      <c r="J19" s="11">
        <v>3.8</v>
      </c>
      <c r="K19" s="11">
        <v>1.4</v>
      </c>
      <c r="L19" s="11">
        <v>57.9</v>
      </c>
      <c r="M19" s="4">
        <v>25</v>
      </c>
      <c r="N19" s="11">
        <v>9.6999999999999993</v>
      </c>
      <c r="O19" s="11">
        <v>8.6</v>
      </c>
      <c r="P19" s="11">
        <v>6</v>
      </c>
      <c r="Q19" s="11">
        <v>5.3</v>
      </c>
      <c r="R19" s="3" t="s">
        <v>682</v>
      </c>
      <c r="S19" s="11">
        <v>7.3</v>
      </c>
      <c r="T19" s="5">
        <v>45972.682314814818</v>
      </c>
      <c r="U19" s="5">
        <v>45972.682546296295</v>
      </c>
      <c r="V19" s="6">
        <v>2.430555468890816E-4</v>
      </c>
    </row>
    <row r="20" spans="1:22" x14ac:dyDescent="0.3">
      <c r="A20" s="2">
        <v>518</v>
      </c>
      <c r="B20" t="s">
        <v>703</v>
      </c>
      <c r="C20" t="s">
        <v>24</v>
      </c>
      <c r="D20" t="s">
        <v>681</v>
      </c>
      <c r="E20" t="s">
        <v>26</v>
      </c>
      <c r="F20" t="s">
        <v>679</v>
      </c>
      <c r="G20" s="11">
        <v>13.9</v>
      </c>
      <c r="H20" s="11">
        <v>8.5</v>
      </c>
      <c r="I20" s="11">
        <v>1.4</v>
      </c>
      <c r="J20" s="11">
        <v>3.4</v>
      </c>
      <c r="K20" s="11">
        <v>1.3</v>
      </c>
      <c r="L20" s="11">
        <v>59.5</v>
      </c>
      <c r="M20" s="4">
        <v>25</v>
      </c>
      <c r="N20" s="11">
        <v>8.9</v>
      </c>
      <c r="O20" s="11">
        <v>7</v>
      </c>
      <c r="P20" s="11">
        <v>5.5</v>
      </c>
      <c r="Q20" s="11">
        <v>4.3</v>
      </c>
      <c r="R20" s="3" t="s">
        <v>682</v>
      </c>
      <c r="S20" s="11">
        <v>5.4</v>
      </c>
      <c r="T20" s="5">
        <v>45972.682638888888</v>
      </c>
      <c r="U20" s="5">
        <v>45972.682719907411</v>
      </c>
      <c r="V20" s="6">
        <v>8.1018515629693866E-5</v>
      </c>
    </row>
    <row r="21" spans="1:22" x14ac:dyDescent="0.3">
      <c r="A21" s="2">
        <v>519</v>
      </c>
      <c r="B21" t="s">
        <v>704</v>
      </c>
      <c r="C21" t="s">
        <v>24</v>
      </c>
      <c r="D21" t="s">
        <v>681</v>
      </c>
      <c r="E21" t="s">
        <v>26</v>
      </c>
      <c r="F21" t="s">
        <v>679</v>
      </c>
      <c r="G21" s="11">
        <v>14.1</v>
      </c>
      <c r="H21" s="11">
        <v>7.9</v>
      </c>
      <c r="I21" s="11">
        <v>1.4</v>
      </c>
      <c r="J21" s="11">
        <v>3.5</v>
      </c>
      <c r="K21" s="11">
        <v>1.3</v>
      </c>
      <c r="L21" s="11">
        <v>58.5</v>
      </c>
      <c r="M21" s="4">
        <v>25</v>
      </c>
      <c r="N21" s="11">
        <v>10.9</v>
      </c>
      <c r="O21" s="11">
        <v>9.5</v>
      </c>
      <c r="P21" s="11">
        <v>5.8</v>
      </c>
      <c r="Q21" s="11">
        <v>3.4</v>
      </c>
      <c r="R21" s="3" t="s">
        <v>682</v>
      </c>
      <c r="S21" s="11">
        <v>4.7</v>
      </c>
      <c r="T21" s="5">
        <v>45972.687615740739</v>
      </c>
      <c r="U21" s="5">
        <v>45972.687731481485</v>
      </c>
      <c r="V21" s="6">
        <v>1.1574075324460864E-4</v>
      </c>
    </row>
    <row r="22" spans="1:22" x14ac:dyDescent="0.3">
      <c r="A22" s="2">
        <v>520</v>
      </c>
      <c r="B22" t="s">
        <v>705</v>
      </c>
      <c r="C22" t="s">
        <v>24</v>
      </c>
      <c r="D22" t="s">
        <v>681</v>
      </c>
      <c r="E22" t="s">
        <v>26</v>
      </c>
      <c r="F22" t="s">
        <v>679</v>
      </c>
      <c r="G22" s="11">
        <v>14.1</v>
      </c>
      <c r="H22" s="11">
        <v>8.1</v>
      </c>
      <c r="I22" s="11">
        <v>1.6</v>
      </c>
      <c r="J22" s="11">
        <v>3.7</v>
      </c>
      <c r="K22" s="11">
        <v>1.4</v>
      </c>
      <c r="L22" s="11">
        <v>58.4</v>
      </c>
      <c r="M22" s="4">
        <v>25</v>
      </c>
      <c r="N22" s="11">
        <v>10.5</v>
      </c>
      <c r="O22" s="11">
        <v>10.1</v>
      </c>
      <c r="P22" s="11">
        <v>6.3</v>
      </c>
      <c r="Q22" s="11">
        <v>4.8</v>
      </c>
      <c r="R22" s="11">
        <v>11.1</v>
      </c>
      <c r="S22" s="11">
        <v>6.2</v>
      </c>
      <c r="T22" s="5">
        <v>45972.68787037037</v>
      </c>
      <c r="U22" s="5">
        <v>45972.688032407408</v>
      </c>
      <c r="V22" s="6">
        <v>1.6203703125938773E-4</v>
      </c>
    </row>
    <row r="23" spans="1:22" x14ac:dyDescent="0.3">
      <c r="A23" s="2">
        <v>521</v>
      </c>
      <c r="B23" t="s">
        <v>706</v>
      </c>
      <c r="C23" t="s">
        <v>24</v>
      </c>
      <c r="D23" t="s">
        <v>681</v>
      </c>
      <c r="E23" t="s">
        <v>26</v>
      </c>
      <c r="F23" t="s">
        <v>679</v>
      </c>
      <c r="G23" s="11">
        <v>14.1</v>
      </c>
      <c r="H23" s="11">
        <v>8</v>
      </c>
      <c r="I23" s="11">
        <v>1.6</v>
      </c>
      <c r="J23" s="11">
        <v>3.2</v>
      </c>
      <c r="K23" s="11">
        <v>1.4</v>
      </c>
      <c r="L23" s="11">
        <v>58.8</v>
      </c>
      <c r="M23" s="4">
        <v>25</v>
      </c>
      <c r="N23" s="11">
        <v>8.6</v>
      </c>
      <c r="O23" s="11">
        <v>8.1</v>
      </c>
      <c r="P23" s="11">
        <v>6.2</v>
      </c>
      <c r="Q23" s="11">
        <v>5.4</v>
      </c>
      <c r="R23" s="11">
        <v>11</v>
      </c>
      <c r="S23" s="11">
        <v>3.4</v>
      </c>
      <c r="T23" s="5">
        <v>45973.388344907406</v>
      </c>
      <c r="U23" s="5">
        <v>45973.388472222221</v>
      </c>
      <c r="V23" s="6">
        <v>1.2731482274830341E-4</v>
      </c>
    </row>
    <row r="24" spans="1:22" x14ac:dyDescent="0.3">
      <c r="A24" s="2">
        <v>522</v>
      </c>
      <c r="B24" t="s">
        <v>707</v>
      </c>
      <c r="C24" t="s">
        <v>24</v>
      </c>
      <c r="D24" t="s">
        <v>681</v>
      </c>
      <c r="E24" t="s">
        <v>26</v>
      </c>
      <c r="F24" t="s">
        <v>679</v>
      </c>
      <c r="G24" s="11">
        <v>14</v>
      </c>
      <c r="H24" s="11">
        <v>8.1</v>
      </c>
      <c r="I24" s="11">
        <v>1.6</v>
      </c>
      <c r="J24" s="11">
        <v>3.4</v>
      </c>
      <c r="K24" s="11">
        <v>1.4</v>
      </c>
      <c r="L24" s="11">
        <v>58.8</v>
      </c>
      <c r="M24" s="4">
        <v>25</v>
      </c>
      <c r="N24" s="11">
        <v>8.1</v>
      </c>
      <c r="O24" s="11">
        <v>8.3000000000000007</v>
      </c>
      <c r="P24" s="11">
        <v>9.1</v>
      </c>
      <c r="Q24" s="11">
        <v>6.5</v>
      </c>
      <c r="R24" s="11">
        <v>9.8000000000000007</v>
      </c>
      <c r="S24" s="11">
        <v>4</v>
      </c>
      <c r="T24" s="5">
        <v>45973.388611111113</v>
      </c>
      <c r="U24" s="5">
        <v>45973.388749999998</v>
      </c>
      <c r="V24" s="6">
        <v>1.3888889225199819E-4</v>
      </c>
    </row>
    <row r="25" spans="1:22" x14ac:dyDescent="0.3">
      <c r="A25" s="2">
        <v>523</v>
      </c>
      <c r="B25" t="s">
        <v>708</v>
      </c>
      <c r="C25" t="s">
        <v>24</v>
      </c>
      <c r="D25" t="s">
        <v>681</v>
      </c>
      <c r="E25" t="s">
        <v>286</v>
      </c>
      <c r="F25" t="s">
        <v>679</v>
      </c>
      <c r="G25" s="11">
        <v>14.3</v>
      </c>
      <c r="H25" s="11">
        <v>7.4</v>
      </c>
      <c r="I25" s="11">
        <v>1.5</v>
      </c>
      <c r="J25" s="11">
        <v>3.9</v>
      </c>
      <c r="K25" s="11">
        <v>1.5</v>
      </c>
      <c r="L25" s="11">
        <v>55.4</v>
      </c>
      <c r="M25" s="4">
        <v>25</v>
      </c>
      <c r="N25" s="11">
        <v>13.4</v>
      </c>
      <c r="O25" s="11">
        <v>12.9</v>
      </c>
      <c r="P25" s="11">
        <v>11.7</v>
      </c>
      <c r="Q25" s="11">
        <v>7</v>
      </c>
      <c r="R25" s="11">
        <v>7.2</v>
      </c>
      <c r="S25" s="11">
        <v>8.3000000000000007</v>
      </c>
      <c r="T25" s="5">
        <v>45973.405162037037</v>
      </c>
      <c r="U25" s="5">
        <v>45973.405405092592</v>
      </c>
      <c r="V25" s="6">
        <v>2.5462961639277637E-4</v>
      </c>
    </row>
    <row r="26" spans="1:22" x14ac:dyDescent="0.3">
      <c r="A26" s="2">
        <v>524</v>
      </c>
      <c r="B26" t="s">
        <v>709</v>
      </c>
      <c r="C26" t="s">
        <v>24</v>
      </c>
      <c r="D26" t="s">
        <v>681</v>
      </c>
      <c r="E26" t="s">
        <v>286</v>
      </c>
      <c r="F26" t="s">
        <v>679</v>
      </c>
      <c r="G26" s="11">
        <v>13.9</v>
      </c>
      <c r="H26" s="11">
        <v>7.8</v>
      </c>
      <c r="I26" s="11">
        <v>1.5</v>
      </c>
      <c r="J26" s="11">
        <v>3.1</v>
      </c>
      <c r="K26" s="11">
        <v>1.2</v>
      </c>
      <c r="L26" s="11">
        <v>60.2</v>
      </c>
      <c r="M26" s="4">
        <v>25</v>
      </c>
      <c r="N26" s="11">
        <v>9.1</v>
      </c>
      <c r="O26" s="11">
        <v>6.7</v>
      </c>
      <c r="P26" s="11">
        <v>7.8</v>
      </c>
      <c r="Q26" s="11">
        <v>6.5</v>
      </c>
      <c r="R26" s="3" t="s">
        <v>682</v>
      </c>
      <c r="S26" s="11">
        <v>3.8</v>
      </c>
      <c r="T26" s="5">
        <v>45973.405509259261</v>
      </c>
      <c r="U26" s="5">
        <v>45973.405648148146</v>
      </c>
      <c r="V26" s="6">
        <v>1.3888889225199819E-4</v>
      </c>
    </row>
    <row r="27" spans="1:22" x14ac:dyDescent="0.3">
      <c r="A27" s="2">
        <v>525</v>
      </c>
      <c r="B27" t="s">
        <v>710</v>
      </c>
      <c r="C27" t="s">
        <v>24</v>
      </c>
      <c r="D27" t="s">
        <v>681</v>
      </c>
      <c r="E27" t="s">
        <v>26</v>
      </c>
      <c r="F27" t="s">
        <v>679</v>
      </c>
      <c r="G27" s="11">
        <v>13.8</v>
      </c>
      <c r="H27" s="11">
        <v>8.1999999999999993</v>
      </c>
      <c r="I27" s="11">
        <v>1.6</v>
      </c>
      <c r="J27" s="11">
        <v>3.3</v>
      </c>
      <c r="K27" s="11">
        <v>1.3</v>
      </c>
      <c r="L27" s="11">
        <v>59.9</v>
      </c>
      <c r="M27" s="4">
        <v>25</v>
      </c>
      <c r="N27" s="11">
        <v>7.8</v>
      </c>
      <c r="O27" s="11">
        <v>7.6</v>
      </c>
      <c r="P27" s="11">
        <v>6.9</v>
      </c>
      <c r="Q27" s="11">
        <v>5.0999999999999996</v>
      </c>
      <c r="R27" s="3" t="s">
        <v>682</v>
      </c>
      <c r="S27" s="11">
        <v>3.9</v>
      </c>
      <c r="T27" s="5">
        <v>45973.423483796294</v>
      </c>
      <c r="U27" s="5">
        <v>45973.423692129632</v>
      </c>
      <c r="V27" s="6">
        <v>2.0833333837799728E-4</v>
      </c>
    </row>
    <row r="28" spans="1:22" x14ac:dyDescent="0.3">
      <c r="A28" s="2">
        <v>526</v>
      </c>
      <c r="B28" t="s">
        <v>711</v>
      </c>
      <c r="C28" t="s">
        <v>24</v>
      </c>
      <c r="D28" t="s">
        <v>681</v>
      </c>
      <c r="E28" t="s">
        <v>26</v>
      </c>
      <c r="F28" t="s">
        <v>679</v>
      </c>
      <c r="G28" s="11">
        <v>13.7</v>
      </c>
      <c r="H28" s="11">
        <v>8.1</v>
      </c>
      <c r="I28" s="11">
        <v>1.6</v>
      </c>
      <c r="J28" s="11">
        <v>3.1</v>
      </c>
      <c r="K28" s="11">
        <v>1.2</v>
      </c>
      <c r="L28" s="11">
        <v>61.1</v>
      </c>
      <c r="M28" s="4">
        <v>25</v>
      </c>
      <c r="N28" s="11">
        <v>7.9</v>
      </c>
      <c r="O28" s="11">
        <v>7.3</v>
      </c>
      <c r="P28" s="11">
        <v>9.1</v>
      </c>
      <c r="Q28" s="11">
        <v>7.1</v>
      </c>
      <c r="R28" s="3" t="s">
        <v>682</v>
      </c>
      <c r="S28" s="11">
        <v>5</v>
      </c>
      <c r="T28" s="5">
        <v>45973.423807870371</v>
      </c>
      <c r="U28" s="5">
        <v>45973.423981481479</v>
      </c>
      <c r="V28" s="6">
        <v>1.736111007630825E-4</v>
      </c>
    </row>
    <row r="29" spans="1:22" x14ac:dyDescent="0.3">
      <c r="A29" s="2">
        <v>527</v>
      </c>
      <c r="B29" t="s">
        <v>712</v>
      </c>
      <c r="C29" t="s">
        <v>24</v>
      </c>
      <c r="D29" t="s">
        <v>681</v>
      </c>
      <c r="E29" t="s">
        <v>297</v>
      </c>
      <c r="F29" t="s">
        <v>679</v>
      </c>
      <c r="G29" s="11">
        <v>14.1</v>
      </c>
      <c r="H29" s="11">
        <v>7.7</v>
      </c>
      <c r="I29" s="11">
        <v>1.5</v>
      </c>
      <c r="J29" s="11">
        <v>3.1</v>
      </c>
      <c r="K29" s="11">
        <v>1.2</v>
      </c>
      <c r="L29" s="11">
        <v>60.5</v>
      </c>
      <c r="M29" s="4">
        <v>25</v>
      </c>
      <c r="N29" s="11">
        <v>8.8000000000000007</v>
      </c>
      <c r="O29" s="11">
        <v>7.8</v>
      </c>
      <c r="P29" s="11">
        <v>8</v>
      </c>
      <c r="Q29" s="11">
        <v>7.5</v>
      </c>
      <c r="R29" s="3" t="s">
        <v>682</v>
      </c>
      <c r="S29" s="11">
        <v>4.2</v>
      </c>
      <c r="T29" s="5">
        <v>45973.459560185183</v>
      </c>
      <c r="U29" s="5">
        <v>45973.459699074076</v>
      </c>
      <c r="V29" s="6">
        <v>1.2731482274830341E-4</v>
      </c>
    </row>
    <row r="30" spans="1:22" x14ac:dyDescent="0.3">
      <c r="A30" s="2">
        <v>528</v>
      </c>
      <c r="B30" t="s">
        <v>713</v>
      </c>
      <c r="C30" t="s">
        <v>24</v>
      </c>
      <c r="D30" t="s">
        <v>681</v>
      </c>
      <c r="E30" t="s">
        <v>297</v>
      </c>
      <c r="F30" t="s">
        <v>679</v>
      </c>
      <c r="G30" s="11">
        <v>13.9</v>
      </c>
      <c r="H30" s="11">
        <v>7.7</v>
      </c>
      <c r="I30" s="11">
        <v>1.5</v>
      </c>
      <c r="J30" s="11">
        <v>2.8</v>
      </c>
      <c r="K30" s="11">
        <v>1.1000000000000001</v>
      </c>
      <c r="L30" s="11">
        <v>62.1</v>
      </c>
      <c r="M30" s="4">
        <v>25</v>
      </c>
      <c r="N30" s="11">
        <v>8.3000000000000007</v>
      </c>
      <c r="O30" s="11">
        <v>7.1</v>
      </c>
      <c r="P30" s="11">
        <v>8.1</v>
      </c>
      <c r="Q30" s="11">
        <v>8.9</v>
      </c>
      <c r="R30" s="3" t="s">
        <v>682</v>
      </c>
      <c r="S30" s="11">
        <v>5.4</v>
      </c>
      <c r="T30" s="5">
        <v>45973.459826388891</v>
      </c>
      <c r="U30" s="5">
        <v>45973.459953703707</v>
      </c>
      <c r="V30" s="6">
        <v>1.3888889225199819E-4</v>
      </c>
    </row>
    <row r="31" spans="1:22" x14ac:dyDescent="0.3">
      <c r="A31" s="2">
        <v>529</v>
      </c>
      <c r="B31" t="s">
        <v>714</v>
      </c>
      <c r="C31" t="s">
        <v>24</v>
      </c>
      <c r="D31" t="s">
        <v>26</v>
      </c>
      <c r="E31" t="s">
        <v>26</v>
      </c>
      <c r="F31" t="s">
        <v>679</v>
      </c>
      <c r="G31" s="11">
        <v>12.6</v>
      </c>
      <c r="H31" s="3" t="s">
        <v>54</v>
      </c>
      <c r="I31" s="3" t="s">
        <v>54</v>
      </c>
      <c r="J31" s="11">
        <v>27.3</v>
      </c>
      <c r="K31" s="3" t="s">
        <v>54</v>
      </c>
      <c r="L31" s="11">
        <v>49</v>
      </c>
      <c r="M31" s="4">
        <v>25</v>
      </c>
      <c r="N31" s="3" t="s">
        <v>253</v>
      </c>
      <c r="O31" s="3" t="s">
        <v>253</v>
      </c>
      <c r="P31" s="3" t="s">
        <v>690</v>
      </c>
      <c r="Q31" s="3" t="s">
        <v>693</v>
      </c>
      <c r="R31" s="3" t="s">
        <v>682</v>
      </c>
      <c r="S31" s="3" t="s">
        <v>715</v>
      </c>
      <c r="T31" s="5">
        <v>45973.487268518518</v>
      </c>
      <c r="U31" s="5">
        <v>45973.488009259258</v>
      </c>
      <c r="V31" s="6">
        <v>7.4074073927477002E-4</v>
      </c>
    </row>
    <row r="32" spans="1:22" x14ac:dyDescent="0.3">
      <c r="A32" s="2">
        <v>530</v>
      </c>
      <c r="B32" t="s">
        <v>716</v>
      </c>
      <c r="C32" t="s">
        <v>24</v>
      </c>
      <c r="D32" t="s">
        <v>681</v>
      </c>
      <c r="E32" t="s">
        <v>457</v>
      </c>
      <c r="F32" t="s">
        <v>679</v>
      </c>
      <c r="G32" s="11">
        <v>13.9</v>
      </c>
      <c r="H32" s="11">
        <v>7.8</v>
      </c>
      <c r="I32" s="11">
        <v>1.6</v>
      </c>
      <c r="J32" s="11">
        <v>3.4</v>
      </c>
      <c r="K32" s="11">
        <v>1.3</v>
      </c>
      <c r="L32" s="11">
        <v>59.5</v>
      </c>
      <c r="M32" s="4">
        <v>25</v>
      </c>
      <c r="N32" s="11">
        <v>9.5</v>
      </c>
      <c r="O32" s="11">
        <v>9.1999999999999993</v>
      </c>
      <c r="P32" s="11">
        <v>8.3000000000000007</v>
      </c>
      <c r="Q32" s="11">
        <v>6.8</v>
      </c>
      <c r="R32" s="11">
        <v>8.9</v>
      </c>
      <c r="S32" s="11">
        <v>4.9000000000000004</v>
      </c>
      <c r="T32" s="5">
        <v>45973.488194444442</v>
      </c>
      <c r="U32" s="5">
        <v>45973.488368055558</v>
      </c>
      <c r="V32" s="6">
        <v>1.736111007630825E-4</v>
      </c>
    </row>
    <row r="33" spans="1:22" x14ac:dyDescent="0.3">
      <c r="A33" s="2">
        <v>531</v>
      </c>
      <c r="B33" t="s">
        <v>717</v>
      </c>
      <c r="C33" t="s">
        <v>24</v>
      </c>
      <c r="D33" t="s">
        <v>681</v>
      </c>
      <c r="E33" t="s">
        <v>457</v>
      </c>
      <c r="F33" t="s">
        <v>679</v>
      </c>
      <c r="G33" s="11">
        <v>14</v>
      </c>
      <c r="H33" s="11">
        <v>8</v>
      </c>
      <c r="I33" s="11">
        <v>1.6</v>
      </c>
      <c r="J33" s="11">
        <v>3.5</v>
      </c>
      <c r="K33" s="11">
        <v>1.4</v>
      </c>
      <c r="L33" s="11">
        <v>58.2</v>
      </c>
      <c r="M33" s="4">
        <v>25</v>
      </c>
      <c r="N33" s="11">
        <v>9.1999999999999993</v>
      </c>
      <c r="O33" s="11">
        <v>9.5</v>
      </c>
      <c r="P33" s="11">
        <v>11.4</v>
      </c>
      <c r="Q33" s="11">
        <v>7</v>
      </c>
      <c r="R33" s="11">
        <v>7.8</v>
      </c>
      <c r="S33" s="11">
        <v>6.1</v>
      </c>
      <c r="T33" s="5">
        <v>45973.48847222222</v>
      </c>
      <c r="U33" s="5">
        <v>45973.488599537035</v>
      </c>
      <c r="V33" s="6">
        <v>1.3888889225199819E-4</v>
      </c>
    </row>
    <row r="34" spans="1:22" x14ac:dyDescent="0.3">
      <c r="A34" s="2">
        <v>532</v>
      </c>
      <c r="B34" t="s">
        <v>718</v>
      </c>
      <c r="C34" t="s">
        <v>24</v>
      </c>
      <c r="D34" t="s">
        <v>681</v>
      </c>
      <c r="E34" t="s">
        <v>460</v>
      </c>
      <c r="F34" t="s">
        <v>679</v>
      </c>
      <c r="G34" s="11">
        <v>13.9</v>
      </c>
      <c r="H34" s="11">
        <v>8.1</v>
      </c>
      <c r="I34" s="11">
        <v>1.5</v>
      </c>
      <c r="J34" s="11">
        <v>3.3</v>
      </c>
      <c r="K34" s="11">
        <v>1.4</v>
      </c>
      <c r="L34" s="11">
        <v>58.2</v>
      </c>
      <c r="M34" s="4">
        <v>25</v>
      </c>
      <c r="N34" s="11">
        <v>7.5</v>
      </c>
      <c r="O34" s="11">
        <v>7.4</v>
      </c>
      <c r="P34" s="11">
        <v>7.3</v>
      </c>
      <c r="Q34" s="11">
        <v>5.5</v>
      </c>
      <c r="R34" s="11">
        <v>8.6999999999999993</v>
      </c>
      <c r="S34" s="11">
        <v>3.5</v>
      </c>
      <c r="T34" s="5">
        <v>45973.492743055554</v>
      </c>
      <c r="U34" s="5">
        <v>45973.49287037037</v>
      </c>
      <c r="V34" s="6">
        <v>1.3888889225199819E-4</v>
      </c>
    </row>
    <row r="35" spans="1:22" x14ac:dyDescent="0.3">
      <c r="A35" s="2">
        <v>533</v>
      </c>
      <c r="B35" t="s">
        <v>719</v>
      </c>
      <c r="C35" t="s">
        <v>24</v>
      </c>
      <c r="D35" t="s">
        <v>681</v>
      </c>
      <c r="E35" t="s">
        <v>460</v>
      </c>
      <c r="F35" t="s">
        <v>679</v>
      </c>
      <c r="G35" s="11">
        <v>13.9</v>
      </c>
      <c r="H35" s="11">
        <v>8.3000000000000007</v>
      </c>
      <c r="I35" s="11">
        <v>1.6</v>
      </c>
      <c r="J35" s="11">
        <v>3.4</v>
      </c>
      <c r="K35" s="11">
        <v>1.4</v>
      </c>
      <c r="L35" s="11">
        <v>58.7</v>
      </c>
      <c r="M35" s="4">
        <v>25</v>
      </c>
      <c r="N35" s="11">
        <v>8.1</v>
      </c>
      <c r="O35" s="11">
        <v>7.4</v>
      </c>
      <c r="P35" s="11">
        <v>8.6</v>
      </c>
      <c r="Q35" s="11">
        <v>6.3</v>
      </c>
      <c r="R35" s="11">
        <v>10.5</v>
      </c>
      <c r="S35" s="11">
        <v>4.2</v>
      </c>
      <c r="T35" s="5">
        <v>45973.492997685185</v>
      </c>
      <c r="U35" s="5">
        <v>45973.493125000001</v>
      </c>
      <c r="V35" s="6">
        <v>1.2731482274830341E-4</v>
      </c>
    </row>
    <row r="36" spans="1:22" x14ac:dyDescent="0.3">
      <c r="A36" s="2">
        <v>534</v>
      </c>
      <c r="B36" t="s">
        <v>720</v>
      </c>
      <c r="C36" t="s">
        <v>24</v>
      </c>
      <c r="D36" t="s">
        <v>681</v>
      </c>
      <c r="E36" t="s">
        <v>348</v>
      </c>
      <c r="F36" t="s">
        <v>679</v>
      </c>
      <c r="G36" s="11">
        <v>13.7</v>
      </c>
      <c r="H36" s="11">
        <v>8.5</v>
      </c>
      <c r="I36" s="11">
        <v>1.5</v>
      </c>
      <c r="J36" s="11">
        <v>3.3</v>
      </c>
      <c r="K36" s="11">
        <v>1.3</v>
      </c>
      <c r="L36" s="11">
        <v>60.8</v>
      </c>
      <c r="M36" s="4">
        <v>25</v>
      </c>
      <c r="N36" s="11">
        <v>7.9</v>
      </c>
      <c r="O36" s="11">
        <v>7.6</v>
      </c>
      <c r="P36" s="11">
        <v>7.9</v>
      </c>
      <c r="Q36" s="11">
        <v>7.3</v>
      </c>
      <c r="R36" s="3" t="s">
        <v>682</v>
      </c>
      <c r="S36" s="11">
        <v>6.4</v>
      </c>
      <c r="T36" s="5">
        <v>45973.49894675926</v>
      </c>
      <c r="U36" s="5">
        <v>45973.499120370368</v>
      </c>
      <c r="V36" s="6">
        <v>1.736111007630825E-4</v>
      </c>
    </row>
    <row r="37" spans="1:22" x14ac:dyDescent="0.3">
      <c r="A37" s="2">
        <v>535</v>
      </c>
      <c r="B37" t="s">
        <v>721</v>
      </c>
      <c r="C37" t="s">
        <v>24</v>
      </c>
      <c r="D37" t="s">
        <v>681</v>
      </c>
      <c r="E37" t="s">
        <v>348</v>
      </c>
      <c r="F37" t="s">
        <v>679</v>
      </c>
      <c r="G37" s="11">
        <v>13.7</v>
      </c>
      <c r="H37" s="11">
        <v>8.6</v>
      </c>
      <c r="I37" s="11">
        <v>1.7</v>
      </c>
      <c r="J37" s="11">
        <v>3.8</v>
      </c>
      <c r="K37" s="11">
        <v>1.4</v>
      </c>
      <c r="L37" s="11">
        <v>57.8</v>
      </c>
      <c r="M37" s="4">
        <v>25</v>
      </c>
      <c r="N37" s="11">
        <v>12.8</v>
      </c>
      <c r="O37" s="11">
        <v>10.9</v>
      </c>
      <c r="P37" s="3" t="s">
        <v>690</v>
      </c>
      <c r="Q37" s="11">
        <v>9.6</v>
      </c>
      <c r="R37" s="3" t="s">
        <v>682</v>
      </c>
      <c r="S37" s="11">
        <v>10.199999999999999</v>
      </c>
      <c r="T37" s="5">
        <v>45973.499236111114</v>
      </c>
      <c r="U37" s="5">
        <v>45973.499444444446</v>
      </c>
      <c r="V37" s="6">
        <v>2.0833333837799728E-4</v>
      </c>
    </row>
    <row r="38" spans="1:22" x14ac:dyDescent="0.3">
      <c r="A38" s="2">
        <v>536</v>
      </c>
      <c r="B38" t="s">
        <v>722</v>
      </c>
      <c r="C38" t="s">
        <v>24</v>
      </c>
      <c r="D38" t="s">
        <v>681</v>
      </c>
      <c r="E38" t="s">
        <v>345</v>
      </c>
      <c r="F38" t="s">
        <v>679</v>
      </c>
      <c r="G38" s="11">
        <v>13.8</v>
      </c>
      <c r="H38" s="11">
        <v>8.6</v>
      </c>
      <c r="I38" s="11">
        <v>1.7</v>
      </c>
      <c r="J38" s="11">
        <v>3.5</v>
      </c>
      <c r="K38" s="11">
        <v>1.3</v>
      </c>
      <c r="L38" s="11">
        <v>58.8</v>
      </c>
      <c r="M38" s="4">
        <v>25</v>
      </c>
      <c r="N38" s="11">
        <v>9.9</v>
      </c>
      <c r="O38" s="11">
        <v>8.1999999999999993</v>
      </c>
      <c r="P38" s="11">
        <v>9.3000000000000007</v>
      </c>
      <c r="Q38" s="11">
        <v>7.1</v>
      </c>
      <c r="R38" s="3" t="s">
        <v>682</v>
      </c>
      <c r="S38" s="11">
        <v>5.2</v>
      </c>
      <c r="T38" s="5">
        <v>45973.514328703706</v>
      </c>
      <c r="U38" s="5">
        <v>45973.514537037037</v>
      </c>
      <c r="V38" s="6">
        <v>2.0833333837799728E-4</v>
      </c>
    </row>
    <row r="39" spans="1:22" x14ac:dyDescent="0.3">
      <c r="A39" s="2">
        <v>537</v>
      </c>
      <c r="B39" t="s">
        <v>723</v>
      </c>
      <c r="C39" t="s">
        <v>24</v>
      </c>
      <c r="D39" t="s">
        <v>681</v>
      </c>
      <c r="E39" t="s">
        <v>345</v>
      </c>
      <c r="F39" t="s">
        <v>679</v>
      </c>
      <c r="G39" s="11">
        <v>13.7</v>
      </c>
      <c r="H39" s="11">
        <v>8.6999999999999993</v>
      </c>
      <c r="I39" s="11">
        <v>1.7</v>
      </c>
      <c r="J39" s="11">
        <v>3.6</v>
      </c>
      <c r="K39" s="11">
        <v>1.4</v>
      </c>
      <c r="L39" s="11">
        <v>58</v>
      </c>
      <c r="M39" s="4">
        <v>25</v>
      </c>
      <c r="N39" s="11">
        <v>11.1</v>
      </c>
      <c r="O39" s="11">
        <v>10.1</v>
      </c>
      <c r="P39" s="11">
        <v>12.9</v>
      </c>
      <c r="Q39" s="11">
        <v>8.1</v>
      </c>
      <c r="R39" s="3" t="s">
        <v>682</v>
      </c>
      <c r="S39" s="11">
        <v>7.8</v>
      </c>
      <c r="T39" s="5">
        <v>45973.514722222222</v>
      </c>
      <c r="U39" s="5">
        <v>45973.514930555553</v>
      </c>
      <c r="V39" s="6">
        <v>2.0833333837799728E-4</v>
      </c>
    </row>
    <row r="40" spans="1:22" x14ac:dyDescent="0.3">
      <c r="A40" s="2">
        <v>538</v>
      </c>
      <c r="B40" t="s">
        <v>724</v>
      </c>
      <c r="C40" t="s">
        <v>24</v>
      </c>
      <c r="D40" t="s">
        <v>681</v>
      </c>
      <c r="E40" t="s">
        <v>474</v>
      </c>
      <c r="F40" t="s">
        <v>679</v>
      </c>
      <c r="G40" s="11">
        <v>13.7</v>
      </c>
      <c r="H40" s="11">
        <v>8.8000000000000007</v>
      </c>
      <c r="I40" s="11">
        <v>1.7</v>
      </c>
      <c r="J40" s="11">
        <v>3.3</v>
      </c>
      <c r="K40" s="11">
        <v>1.3</v>
      </c>
      <c r="L40" s="11">
        <v>59.6</v>
      </c>
      <c r="M40" s="4">
        <v>25</v>
      </c>
      <c r="N40" s="11">
        <v>8.3000000000000007</v>
      </c>
      <c r="O40" s="11">
        <v>6.8</v>
      </c>
      <c r="P40" s="11">
        <v>9.6</v>
      </c>
      <c r="Q40" s="11">
        <v>6.2</v>
      </c>
      <c r="R40" s="3" t="s">
        <v>682</v>
      </c>
      <c r="S40" s="11">
        <v>5.6</v>
      </c>
      <c r="T40" s="5">
        <v>45973.669351851851</v>
      </c>
      <c r="U40" s="5">
        <v>45973.669907407406</v>
      </c>
      <c r="V40" s="6">
        <v>5.5555556900799274E-4</v>
      </c>
    </row>
    <row r="41" spans="1:22" x14ac:dyDescent="0.3">
      <c r="A41" s="2">
        <v>539</v>
      </c>
      <c r="B41" t="s">
        <v>725</v>
      </c>
      <c r="C41" t="s">
        <v>24</v>
      </c>
      <c r="D41" t="s">
        <v>681</v>
      </c>
      <c r="E41" t="s">
        <v>474</v>
      </c>
      <c r="F41" t="s">
        <v>679</v>
      </c>
      <c r="G41" s="11">
        <v>12.6</v>
      </c>
      <c r="H41" s="11">
        <v>11.7</v>
      </c>
      <c r="I41" s="11">
        <v>3.2</v>
      </c>
      <c r="J41" s="11">
        <v>4.4000000000000004</v>
      </c>
      <c r="K41" s="11">
        <v>1.3</v>
      </c>
      <c r="L41" s="11">
        <v>61.6</v>
      </c>
      <c r="M41" s="4">
        <v>25</v>
      </c>
      <c r="N41" s="3" t="s">
        <v>253</v>
      </c>
      <c r="O41" s="3" t="s">
        <v>253</v>
      </c>
      <c r="P41" s="3" t="s">
        <v>690</v>
      </c>
      <c r="Q41" s="3" t="s">
        <v>693</v>
      </c>
      <c r="R41" s="3" t="s">
        <v>682</v>
      </c>
      <c r="S41" s="3" t="s">
        <v>715</v>
      </c>
      <c r="T41" s="5">
        <v>45973.670046296298</v>
      </c>
      <c r="U41" s="5">
        <v>45973.671030092592</v>
      </c>
      <c r="V41" s="6">
        <v>9.7222221666015685E-4</v>
      </c>
    </row>
    <row r="42" spans="1:22" x14ac:dyDescent="0.3">
      <c r="A42" s="2">
        <v>540</v>
      </c>
      <c r="B42" t="s">
        <v>726</v>
      </c>
      <c r="C42" t="s">
        <v>24</v>
      </c>
      <c r="D42" t="s">
        <v>100</v>
      </c>
      <c r="E42" t="s">
        <v>474</v>
      </c>
      <c r="F42" t="s">
        <v>679</v>
      </c>
      <c r="G42" s="11">
        <v>13.2</v>
      </c>
      <c r="H42" s="11">
        <v>12</v>
      </c>
      <c r="I42" s="11">
        <v>4.5999999999999996</v>
      </c>
      <c r="J42" s="11">
        <v>10.1</v>
      </c>
      <c r="K42" s="11">
        <v>6.2</v>
      </c>
      <c r="L42" s="11">
        <v>25.5</v>
      </c>
      <c r="M42" s="4">
        <v>25</v>
      </c>
      <c r="N42" s="3" t="s">
        <v>253</v>
      </c>
      <c r="O42" s="3" t="s">
        <v>253</v>
      </c>
      <c r="P42" s="3" t="s">
        <v>690</v>
      </c>
      <c r="Q42" s="3" t="s">
        <v>693</v>
      </c>
      <c r="R42" s="3" t="s">
        <v>682</v>
      </c>
      <c r="S42" s="3" t="s">
        <v>715</v>
      </c>
      <c r="T42" s="5">
        <v>45973.671331018515</v>
      </c>
      <c r="U42" s="5">
        <v>45973.671550925923</v>
      </c>
      <c r="V42" s="6">
        <v>2.0833333837799728E-4</v>
      </c>
    </row>
    <row r="43" spans="1:22" x14ac:dyDescent="0.3">
      <c r="A43" s="2">
        <v>541</v>
      </c>
      <c r="B43" t="s">
        <v>727</v>
      </c>
      <c r="C43" t="s">
        <v>24</v>
      </c>
      <c r="D43" t="s">
        <v>102</v>
      </c>
      <c r="E43" t="s">
        <v>474</v>
      </c>
      <c r="F43" t="s">
        <v>679</v>
      </c>
      <c r="G43" s="11">
        <v>13.1</v>
      </c>
      <c r="H43" s="11">
        <v>36.9</v>
      </c>
      <c r="I43" s="11">
        <v>1.2</v>
      </c>
      <c r="J43" s="11">
        <v>6.7</v>
      </c>
      <c r="K43" s="11">
        <v>4.3</v>
      </c>
      <c r="L43" s="11">
        <v>37</v>
      </c>
      <c r="M43" s="4">
        <v>25</v>
      </c>
      <c r="N43" s="3" t="s">
        <v>253</v>
      </c>
      <c r="O43" s="3" t="s">
        <v>253</v>
      </c>
      <c r="P43" s="3" t="s">
        <v>690</v>
      </c>
      <c r="Q43" s="3" t="s">
        <v>693</v>
      </c>
      <c r="R43" s="3" t="s">
        <v>682</v>
      </c>
      <c r="S43" s="3" t="s">
        <v>715</v>
      </c>
      <c r="T43" s="5">
        <v>45973.671666666669</v>
      </c>
      <c r="U43" s="5">
        <v>45973.671759259261</v>
      </c>
      <c r="V43" s="6">
        <v>1.0416665463708341E-4</v>
      </c>
    </row>
    <row r="44" spans="1:22" x14ac:dyDescent="0.3">
      <c r="A44" s="2">
        <v>542</v>
      </c>
      <c r="B44" t="s">
        <v>728</v>
      </c>
      <c r="C44" t="s">
        <v>24</v>
      </c>
      <c r="D44" t="s">
        <v>104</v>
      </c>
      <c r="E44" t="s">
        <v>474</v>
      </c>
      <c r="F44" t="s">
        <v>679</v>
      </c>
      <c r="G44" s="11">
        <v>12.3</v>
      </c>
      <c r="H44" s="11">
        <v>15.2</v>
      </c>
      <c r="I44" s="11">
        <v>1.8</v>
      </c>
      <c r="J44" s="11">
        <v>4.5999999999999996</v>
      </c>
      <c r="K44" s="11">
        <v>2.5</v>
      </c>
      <c r="L44" s="11">
        <v>55</v>
      </c>
      <c r="M44" s="4">
        <v>25</v>
      </c>
      <c r="N44" s="11">
        <v>37.200000000000003</v>
      </c>
      <c r="O44" s="11">
        <v>42</v>
      </c>
      <c r="P44" s="3" t="s">
        <v>690</v>
      </c>
      <c r="Q44" s="3" t="s">
        <v>693</v>
      </c>
      <c r="R44" s="3" t="s">
        <v>682</v>
      </c>
      <c r="S44" s="11">
        <v>61.4</v>
      </c>
      <c r="T44" s="5">
        <v>45973.671875</v>
      </c>
      <c r="U44" s="5">
        <v>45973.672083333331</v>
      </c>
      <c r="V44" s="6">
        <v>2.0833333837799728E-4</v>
      </c>
    </row>
    <row r="45" spans="1:22" x14ac:dyDescent="0.3">
      <c r="A45" s="2">
        <v>543</v>
      </c>
      <c r="B45" t="s">
        <v>729</v>
      </c>
      <c r="C45" t="s">
        <v>24</v>
      </c>
      <c r="D45" t="s">
        <v>106</v>
      </c>
      <c r="E45" t="s">
        <v>474</v>
      </c>
      <c r="F45" t="s">
        <v>679</v>
      </c>
      <c r="G45" s="11">
        <v>12.4</v>
      </c>
      <c r="H45" s="11">
        <v>19.2</v>
      </c>
      <c r="I45" s="11">
        <v>1.6</v>
      </c>
      <c r="J45" s="11">
        <v>4.5</v>
      </c>
      <c r="K45" s="11">
        <v>2.4</v>
      </c>
      <c r="L45" s="11">
        <v>55.6</v>
      </c>
      <c r="M45" s="4">
        <v>25</v>
      </c>
      <c r="N45" s="11">
        <v>56.8</v>
      </c>
      <c r="O45" s="11">
        <v>79.7</v>
      </c>
      <c r="P45" s="3" t="s">
        <v>690</v>
      </c>
      <c r="Q45" s="3" t="s">
        <v>693</v>
      </c>
      <c r="R45" s="3" t="s">
        <v>682</v>
      </c>
      <c r="S45" s="3" t="s">
        <v>715</v>
      </c>
      <c r="T45" s="5">
        <v>45973.672199074077</v>
      </c>
      <c r="U45" s="5">
        <v>45973.672372685185</v>
      </c>
      <c r="V45" s="6">
        <v>1.736111007630825E-4</v>
      </c>
    </row>
    <row r="46" spans="1:22" x14ac:dyDescent="0.3">
      <c r="A46" s="2">
        <v>544</v>
      </c>
      <c r="B46" t="s">
        <v>730</v>
      </c>
      <c r="C46" t="s">
        <v>24</v>
      </c>
      <c r="D46" t="s">
        <v>108</v>
      </c>
      <c r="E46" t="s">
        <v>474</v>
      </c>
      <c r="F46" t="s">
        <v>679</v>
      </c>
      <c r="G46" s="11">
        <v>11.5</v>
      </c>
      <c r="H46" s="11">
        <v>7.2</v>
      </c>
      <c r="I46" s="11">
        <v>4.0999999999999996</v>
      </c>
      <c r="J46" s="11">
        <v>10.5</v>
      </c>
      <c r="K46" s="11">
        <v>3.3</v>
      </c>
      <c r="L46" s="11">
        <v>44</v>
      </c>
      <c r="M46" s="4">
        <v>25</v>
      </c>
      <c r="N46" s="3" t="s">
        <v>253</v>
      </c>
      <c r="O46" s="3" t="s">
        <v>253</v>
      </c>
      <c r="P46" s="3" t="s">
        <v>690</v>
      </c>
      <c r="Q46" s="3" t="s">
        <v>693</v>
      </c>
      <c r="R46" s="3" t="s">
        <v>682</v>
      </c>
      <c r="S46" s="3" t="s">
        <v>715</v>
      </c>
      <c r="T46" s="5">
        <v>45973.672488425924</v>
      </c>
      <c r="U46" s="5">
        <v>45973.672696759262</v>
      </c>
      <c r="V46" s="6">
        <v>2.0833333837799728E-4</v>
      </c>
    </row>
    <row r="47" spans="1:22" x14ac:dyDescent="0.3">
      <c r="A47" s="2">
        <v>545</v>
      </c>
      <c r="B47" t="s">
        <v>731</v>
      </c>
      <c r="C47" t="s">
        <v>353</v>
      </c>
      <c r="D47" t="s">
        <v>681</v>
      </c>
      <c r="E47" t="s">
        <v>354</v>
      </c>
      <c r="F47" t="s">
        <v>679</v>
      </c>
      <c r="G47" s="11">
        <v>13.6</v>
      </c>
      <c r="H47" s="11">
        <v>7.6</v>
      </c>
      <c r="I47" s="11">
        <v>1.7</v>
      </c>
      <c r="J47" s="11">
        <v>3.4</v>
      </c>
      <c r="K47" s="11">
        <v>1.2</v>
      </c>
      <c r="L47" s="11">
        <v>60.9</v>
      </c>
      <c r="M47" s="4">
        <v>25</v>
      </c>
      <c r="N47" s="11">
        <v>11</v>
      </c>
      <c r="O47" s="11">
        <v>8.6999999999999993</v>
      </c>
      <c r="P47" s="11">
        <v>8.3000000000000007</v>
      </c>
      <c r="Q47" s="11">
        <v>8.1</v>
      </c>
      <c r="R47" s="3" t="s">
        <v>682</v>
      </c>
      <c r="S47" s="11">
        <v>4.5</v>
      </c>
      <c r="T47" s="5">
        <v>45974.563402777778</v>
      </c>
      <c r="U47" s="5">
        <v>45974.563715277778</v>
      </c>
      <c r="V47" s="6">
        <v>3.1249999301508069E-4</v>
      </c>
    </row>
    <row r="48" spans="1:22" x14ac:dyDescent="0.3">
      <c r="A48" s="2">
        <v>546</v>
      </c>
      <c r="B48" t="s">
        <v>732</v>
      </c>
      <c r="C48" t="s">
        <v>353</v>
      </c>
      <c r="D48" t="s">
        <v>681</v>
      </c>
      <c r="E48" t="s">
        <v>354</v>
      </c>
      <c r="F48" t="s">
        <v>679</v>
      </c>
      <c r="G48" s="11">
        <v>13.6</v>
      </c>
      <c r="H48" s="11">
        <v>7.6</v>
      </c>
      <c r="I48" s="11">
        <v>1.7</v>
      </c>
      <c r="J48" s="11">
        <v>3.5</v>
      </c>
      <c r="K48" s="11">
        <v>1.3</v>
      </c>
      <c r="L48" s="11">
        <v>60.2</v>
      </c>
      <c r="M48" s="4">
        <v>25</v>
      </c>
      <c r="N48" s="11">
        <v>11.6</v>
      </c>
      <c r="O48" s="11">
        <v>9.6</v>
      </c>
      <c r="P48" s="11">
        <v>9.3000000000000007</v>
      </c>
      <c r="Q48" s="11">
        <v>8.9</v>
      </c>
      <c r="R48" s="3" t="s">
        <v>682</v>
      </c>
      <c r="S48" s="11">
        <v>5.2</v>
      </c>
      <c r="T48" s="5">
        <v>45974.563854166663</v>
      </c>
      <c r="U48" s="5">
        <v>45974.563969907409</v>
      </c>
      <c r="V48" s="6">
        <v>1.2731482274830341E-4</v>
      </c>
    </row>
    <row r="49" spans="1:22" x14ac:dyDescent="0.3">
      <c r="A49" s="2">
        <v>547</v>
      </c>
      <c r="B49" t="s">
        <v>733</v>
      </c>
      <c r="C49" t="s">
        <v>353</v>
      </c>
      <c r="D49" t="s">
        <v>681</v>
      </c>
      <c r="E49" t="s">
        <v>354</v>
      </c>
      <c r="F49" t="s">
        <v>679</v>
      </c>
      <c r="G49" s="11">
        <v>13.6</v>
      </c>
      <c r="H49" s="11">
        <v>7.7</v>
      </c>
      <c r="I49" s="11">
        <v>1.7</v>
      </c>
      <c r="J49" s="11">
        <v>3.6</v>
      </c>
      <c r="K49" s="11">
        <v>1.3</v>
      </c>
      <c r="L49" s="11">
        <v>58.7</v>
      </c>
      <c r="M49" s="4">
        <v>25</v>
      </c>
      <c r="N49" s="11">
        <v>14.4</v>
      </c>
      <c r="O49" s="11">
        <v>11.8</v>
      </c>
      <c r="P49" s="11">
        <v>12.5</v>
      </c>
      <c r="Q49" s="11">
        <v>10.4</v>
      </c>
      <c r="R49" s="3" t="s">
        <v>682</v>
      </c>
      <c r="S49" s="11">
        <v>6.8</v>
      </c>
      <c r="T49" s="5">
        <v>45974.564074074071</v>
      </c>
      <c r="U49" s="5">
        <v>45974.564236111109</v>
      </c>
      <c r="V49" s="6">
        <v>1.6203703125938773E-4</v>
      </c>
    </row>
    <row r="50" spans="1:22" x14ac:dyDescent="0.3">
      <c r="A50" s="2">
        <v>548</v>
      </c>
      <c r="B50" t="s">
        <v>734</v>
      </c>
      <c r="C50" t="s">
        <v>353</v>
      </c>
      <c r="D50" t="s">
        <v>681</v>
      </c>
      <c r="E50" t="s">
        <v>358</v>
      </c>
      <c r="F50" t="s">
        <v>679</v>
      </c>
      <c r="G50" s="11">
        <v>13.7</v>
      </c>
      <c r="H50" s="11">
        <v>7</v>
      </c>
      <c r="I50" s="11">
        <v>1.6</v>
      </c>
      <c r="J50" s="11">
        <v>3.6</v>
      </c>
      <c r="K50" s="11">
        <v>1.2</v>
      </c>
      <c r="L50" s="11">
        <v>60.7</v>
      </c>
      <c r="M50" s="4">
        <v>25</v>
      </c>
      <c r="N50" s="11">
        <v>9.9</v>
      </c>
      <c r="O50" s="11">
        <v>8.8000000000000007</v>
      </c>
      <c r="P50" s="11">
        <v>6.8</v>
      </c>
      <c r="Q50" s="11">
        <v>7.8</v>
      </c>
      <c r="R50" s="3" t="s">
        <v>682</v>
      </c>
      <c r="S50" s="11">
        <v>3.1</v>
      </c>
      <c r="T50" s="5">
        <v>45974.576192129629</v>
      </c>
      <c r="U50" s="5">
        <v>45974.576388888891</v>
      </c>
      <c r="V50" s="6">
        <v>1.9675926887430251E-4</v>
      </c>
    </row>
    <row r="51" spans="1:22" x14ac:dyDescent="0.3">
      <c r="A51" s="2">
        <v>549</v>
      </c>
      <c r="B51" t="s">
        <v>735</v>
      </c>
      <c r="C51" t="s">
        <v>353</v>
      </c>
      <c r="D51" t="s">
        <v>681</v>
      </c>
      <c r="E51" t="s">
        <v>358</v>
      </c>
      <c r="F51" t="s">
        <v>679</v>
      </c>
      <c r="G51" s="11">
        <v>13.6</v>
      </c>
      <c r="H51" s="11">
        <v>7.5</v>
      </c>
      <c r="I51" s="11">
        <v>1.6</v>
      </c>
      <c r="J51" s="11">
        <v>4.0999999999999996</v>
      </c>
      <c r="K51" s="11">
        <v>1.4</v>
      </c>
      <c r="L51" s="11">
        <v>57.4</v>
      </c>
      <c r="M51" s="4">
        <v>25</v>
      </c>
      <c r="N51" s="11">
        <v>12</v>
      </c>
      <c r="O51" s="11">
        <v>13.2</v>
      </c>
      <c r="P51" s="3" t="s">
        <v>690</v>
      </c>
      <c r="Q51" s="11">
        <v>7.9</v>
      </c>
      <c r="R51" s="11">
        <v>9.3000000000000007</v>
      </c>
      <c r="S51" s="11">
        <v>6.3</v>
      </c>
      <c r="T51" s="5">
        <v>45974.576516203706</v>
      </c>
      <c r="U51" s="5">
        <v>45974.576631944445</v>
      </c>
      <c r="V51" s="6">
        <v>1.1574075324460864E-4</v>
      </c>
    </row>
    <row r="52" spans="1:22" x14ac:dyDescent="0.3">
      <c r="A52" s="2">
        <v>550</v>
      </c>
      <c r="B52" t="s">
        <v>736</v>
      </c>
      <c r="C52" t="s">
        <v>353</v>
      </c>
      <c r="D52" t="s">
        <v>681</v>
      </c>
      <c r="E52" t="s">
        <v>358</v>
      </c>
      <c r="F52" t="s">
        <v>679</v>
      </c>
      <c r="G52" s="11">
        <v>13.7</v>
      </c>
      <c r="H52" s="11">
        <v>7.5</v>
      </c>
      <c r="I52" s="11">
        <v>1.5</v>
      </c>
      <c r="J52" s="11">
        <v>3.9</v>
      </c>
      <c r="K52" s="11">
        <v>1.4</v>
      </c>
      <c r="L52" s="11">
        <v>57.7</v>
      </c>
      <c r="M52" s="4">
        <v>25</v>
      </c>
      <c r="N52" s="11">
        <v>11.7</v>
      </c>
      <c r="O52" s="11">
        <v>11.7</v>
      </c>
      <c r="P52" s="11">
        <v>11.5</v>
      </c>
      <c r="Q52" s="11">
        <v>6.8</v>
      </c>
      <c r="R52" s="11">
        <v>8.1999999999999993</v>
      </c>
      <c r="S52" s="11">
        <v>6.5</v>
      </c>
      <c r="T52" s="5">
        <v>45974.57675925926</v>
      </c>
      <c r="U52" s="5">
        <v>45974.576874999999</v>
      </c>
      <c r="V52" s="6">
        <v>1.1574075324460864E-4</v>
      </c>
    </row>
    <row r="53" spans="1:22" x14ac:dyDescent="0.3">
      <c r="A53" s="2">
        <v>551</v>
      </c>
      <c r="B53" t="s">
        <v>737</v>
      </c>
      <c r="C53" t="s">
        <v>362</v>
      </c>
      <c r="D53" t="s">
        <v>681</v>
      </c>
      <c r="E53" t="s">
        <v>363</v>
      </c>
      <c r="F53" t="s">
        <v>679</v>
      </c>
      <c r="G53" s="11">
        <v>13.6</v>
      </c>
      <c r="H53" s="11">
        <v>7.1</v>
      </c>
      <c r="I53" s="11">
        <v>1.7</v>
      </c>
      <c r="J53" s="11">
        <v>3.6</v>
      </c>
      <c r="K53" s="11">
        <v>1</v>
      </c>
      <c r="L53" s="11">
        <v>62.7</v>
      </c>
      <c r="M53" s="4">
        <v>25</v>
      </c>
      <c r="N53" s="11">
        <v>12</v>
      </c>
      <c r="O53" s="11">
        <v>11.6</v>
      </c>
      <c r="P53" s="11">
        <v>11.1</v>
      </c>
      <c r="Q53" s="11">
        <v>13</v>
      </c>
      <c r="R53" s="3" t="s">
        <v>682</v>
      </c>
      <c r="S53" s="11">
        <v>4.7</v>
      </c>
      <c r="T53" s="5">
        <v>45974.672129629631</v>
      </c>
      <c r="U53" s="5">
        <v>45974.672280092593</v>
      </c>
      <c r="V53" s="6">
        <v>1.5046296175569296E-4</v>
      </c>
    </row>
    <row r="54" spans="1:22" x14ac:dyDescent="0.3">
      <c r="A54" s="2">
        <v>552</v>
      </c>
      <c r="B54" t="s">
        <v>738</v>
      </c>
      <c r="C54" t="s">
        <v>362</v>
      </c>
      <c r="D54" t="s">
        <v>681</v>
      </c>
      <c r="E54" t="s">
        <v>363</v>
      </c>
      <c r="F54" t="s">
        <v>679</v>
      </c>
      <c r="G54" s="11">
        <v>13.5</v>
      </c>
      <c r="H54" s="11">
        <v>7.5</v>
      </c>
      <c r="I54" s="11">
        <v>1.8</v>
      </c>
      <c r="J54" s="11">
        <v>3.6</v>
      </c>
      <c r="K54" s="11">
        <v>1.1000000000000001</v>
      </c>
      <c r="L54" s="11">
        <v>60.7</v>
      </c>
      <c r="M54" s="4">
        <v>25</v>
      </c>
      <c r="N54" s="11">
        <v>11.4</v>
      </c>
      <c r="O54" s="11">
        <v>10.4</v>
      </c>
      <c r="P54" s="3" t="s">
        <v>690</v>
      </c>
      <c r="Q54" s="11">
        <v>11</v>
      </c>
      <c r="R54" s="3" t="s">
        <v>682</v>
      </c>
      <c r="S54" s="11">
        <v>4.5999999999999996</v>
      </c>
      <c r="T54" s="5">
        <v>45974.672384259262</v>
      </c>
      <c r="U54" s="5">
        <v>45974.672534722224</v>
      </c>
      <c r="V54" s="6">
        <v>1.5046296175569296E-4</v>
      </c>
    </row>
    <row r="55" spans="1:22" x14ac:dyDescent="0.3">
      <c r="A55" s="2">
        <v>553</v>
      </c>
      <c r="B55" t="s">
        <v>739</v>
      </c>
      <c r="C55" t="s">
        <v>362</v>
      </c>
      <c r="D55" t="s">
        <v>681</v>
      </c>
      <c r="E55" t="s">
        <v>363</v>
      </c>
      <c r="F55" t="s">
        <v>679</v>
      </c>
      <c r="G55" s="11">
        <v>13.7</v>
      </c>
      <c r="H55" s="11">
        <v>7.3</v>
      </c>
      <c r="I55" s="11">
        <v>1.9</v>
      </c>
      <c r="J55" s="11">
        <v>3.8</v>
      </c>
      <c r="K55" s="11">
        <v>1.2</v>
      </c>
      <c r="L55" s="11">
        <v>60.5</v>
      </c>
      <c r="M55" s="4">
        <v>25</v>
      </c>
      <c r="N55" s="11">
        <v>11.6</v>
      </c>
      <c r="O55" s="11">
        <v>11.7</v>
      </c>
      <c r="P55" s="3" t="s">
        <v>690</v>
      </c>
      <c r="Q55" s="11">
        <v>12</v>
      </c>
      <c r="R55" s="3" t="s">
        <v>682</v>
      </c>
      <c r="S55" s="11">
        <v>5.4</v>
      </c>
      <c r="T55" s="5">
        <v>45974.672789351855</v>
      </c>
      <c r="U55" s="5">
        <v>45974.672974537039</v>
      </c>
      <c r="V55" s="6">
        <v>1.9675926887430251E-4</v>
      </c>
    </row>
    <row r="56" spans="1:22" x14ac:dyDescent="0.3">
      <c r="A56" s="2">
        <v>554</v>
      </c>
      <c r="B56" t="s">
        <v>740</v>
      </c>
      <c r="C56" t="s">
        <v>362</v>
      </c>
      <c r="D56" t="s">
        <v>681</v>
      </c>
      <c r="E56" t="s">
        <v>367</v>
      </c>
      <c r="F56" t="s">
        <v>679</v>
      </c>
      <c r="G56" s="11">
        <v>13.7</v>
      </c>
      <c r="H56" s="11">
        <v>7</v>
      </c>
      <c r="I56" s="11">
        <v>1.7</v>
      </c>
      <c r="J56" s="11">
        <v>3.5</v>
      </c>
      <c r="K56" s="11">
        <v>1.3</v>
      </c>
      <c r="L56" s="11">
        <v>59.4</v>
      </c>
      <c r="M56" s="4">
        <v>25</v>
      </c>
      <c r="N56" s="11">
        <v>8.9</v>
      </c>
      <c r="O56" s="11">
        <v>9.5</v>
      </c>
      <c r="P56" s="11">
        <v>8.1999999999999993</v>
      </c>
      <c r="Q56" s="11">
        <v>6.7</v>
      </c>
      <c r="R56" s="3" t="s">
        <v>682</v>
      </c>
      <c r="S56" s="11">
        <v>3.2</v>
      </c>
      <c r="T56" s="5">
        <v>45974.68922453704</v>
      </c>
      <c r="U56" s="5">
        <v>45974.689456018517</v>
      </c>
      <c r="V56" s="6">
        <v>2.3148147738538682E-4</v>
      </c>
    </row>
    <row r="57" spans="1:22" x14ac:dyDescent="0.3">
      <c r="A57" s="2">
        <v>555</v>
      </c>
      <c r="B57" t="s">
        <v>741</v>
      </c>
      <c r="C57" t="s">
        <v>362</v>
      </c>
      <c r="D57" t="s">
        <v>681</v>
      </c>
      <c r="E57" t="s">
        <v>367</v>
      </c>
      <c r="F57" t="s">
        <v>679</v>
      </c>
      <c r="G57" s="11">
        <v>13.8</v>
      </c>
      <c r="H57" s="11">
        <v>6.9</v>
      </c>
      <c r="I57" s="11">
        <v>1.7</v>
      </c>
      <c r="J57" s="11">
        <v>3.6</v>
      </c>
      <c r="K57" s="11">
        <v>1.4</v>
      </c>
      <c r="L57" s="11">
        <v>57.2</v>
      </c>
      <c r="M57" s="4">
        <v>25</v>
      </c>
      <c r="N57" s="11">
        <v>12.1</v>
      </c>
      <c r="O57" s="11">
        <v>11.7</v>
      </c>
      <c r="P57" s="11">
        <v>12</v>
      </c>
      <c r="Q57" s="11">
        <v>7.1</v>
      </c>
      <c r="R57" s="3" t="s">
        <v>682</v>
      </c>
      <c r="S57" s="11">
        <v>4.9000000000000004</v>
      </c>
      <c r="T57" s="5">
        <v>45974.689606481479</v>
      </c>
      <c r="U57" s="5">
        <v>45974.689756944441</v>
      </c>
      <c r="V57" s="6">
        <v>1.6203703125938773E-4</v>
      </c>
    </row>
    <row r="58" spans="1:22" x14ac:dyDescent="0.3">
      <c r="A58" s="2">
        <v>556</v>
      </c>
      <c r="B58" t="s">
        <v>742</v>
      </c>
      <c r="C58" t="s">
        <v>362</v>
      </c>
      <c r="D58" t="s">
        <v>681</v>
      </c>
      <c r="E58" t="s">
        <v>367</v>
      </c>
      <c r="F58" t="s">
        <v>679</v>
      </c>
      <c r="G58" s="11">
        <v>13.6</v>
      </c>
      <c r="H58" s="11">
        <v>7.2</v>
      </c>
      <c r="I58" s="11">
        <v>1.7</v>
      </c>
      <c r="J58" s="11">
        <v>3.8</v>
      </c>
      <c r="K58" s="11">
        <v>1.5</v>
      </c>
      <c r="L58" s="11">
        <v>56.8</v>
      </c>
      <c r="M58" s="4">
        <v>25</v>
      </c>
      <c r="N58" s="11">
        <v>10.3</v>
      </c>
      <c r="O58" s="11">
        <v>11.6</v>
      </c>
      <c r="P58" s="3" t="s">
        <v>690</v>
      </c>
      <c r="Q58" s="11">
        <v>8</v>
      </c>
      <c r="R58" s="11">
        <v>8.4</v>
      </c>
      <c r="S58" s="11">
        <v>7</v>
      </c>
      <c r="T58" s="5">
        <v>45974.689884259256</v>
      </c>
      <c r="U58" s="5">
        <v>45974.69023148148</v>
      </c>
      <c r="V58" s="6">
        <v>3.4722223062999547E-4</v>
      </c>
    </row>
    <row r="59" spans="1:22" x14ac:dyDescent="0.3">
      <c r="A59" s="2">
        <v>557</v>
      </c>
      <c r="B59" t="s">
        <v>743</v>
      </c>
      <c r="C59" t="s">
        <v>353</v>
      </c>
      <c r="D59" t="s">
        <v>681</v>
      </c>
      <c r="E59" t="s">
        <v>744</v>
      </c>
      <c r="F59" t="s">
        <v>679</v>
      </c>
      <c r="G59" s="11">
        <v>13.7</v>
      </c>
      <c r="H59" s="11">
        <v>7.4</v>
      </c>
      <c r="I59" s="11">
        <v>1.7</v>
      </c>
      <c r="J59" s="11">
        <v>3.5</v>
      </c>
      <c r="K59" s="11">
        <v>1.3</v>
      </c>
      <c r="L59" s="11">
        <v>59.8</v>
      </c>
      <c r="M59" s="4">
        <v>25</v>
      </c>
      <c r="N59" s="11">
        <v>10.9</v>
      </c>
      <c r="O59" s="11">
        <v>9.5</v>
      </c>
      <c r="P59" s="11">
        <v>7.1</v>
      </c>
      <c r="Q59" s="11">
        <v>6.5</v>
      </c>
      <c r="R59" s="3" t="s">
        <v>682</v>
      </c>
      <c r="S59" s="11">
        <v>3.6</v>
      </c>
      <c r="T59" s="5">
        <v>45975.501446759263</v>
      </c>
      <c r="U59" s="5">
        <v>45975.501817129632</v>
      </c>
      <c r="V59" s="6">
        <v>3.7037036963738501E-4</v>
      </c>
    </row>
    <row r="60" spans="1:22" x14ac:dyDescent="0.3">
      <c r="A60" s="2">
        <v>558</v>
      </c>
      <c r="B60" t="s">
        <v>745</v>
      </c>
      <c r="C60" t="s">
        <v>353</v>
      </c>
      <c r="D60" t="s">
        <v>681</v>
      </c>
      <c r="E60" t="s">
        <v>744</v>
      </c>
      <c r="F60" t="s">
        <v>679</v>
      </c>
      <c r="G60" s="11">
        <v>13.6</v>
      </c>
      <c r="H60" s="11">
        <v>7.5</v>
      </c>
      <c r="I60" s="11">
        <v>1.7</v>
      </c>
      <c r="J60" s="11">
        <v>3.3</v>
      </c>
      <c r="K60" s="11">
        <v>1.2</v>
      </c>
      <c r="L60" s="11">
        <v>61.6</v>
      </c>
      <c r="M60" s="4">
        <v>25</v>
      </c>
      <c r="N60" s="11">
        <v>10.1</v>
      </c>
      <c r="O60" s="11">
        <v>8.4</v>
      </c>
      <c r="P60" s="11">
        <v>7.2</v>
      </c>
      <c r="Q60" s="11">
        <v>8</v>
      </c>
      <c r="R60" s="3" t="s">
        <v>682</v>
      </c>
      <c r="S60" s="11">
        <v>4.5</v>
      </c>
      <c r="T60" s="5">
        <v>45975.510520833333</v>
      </c>
      <c r="U60" s="5">
        <v>45975.510717592595</v>
      </c>
      <c r="V60" s="6">
        <v>1.9675926887430251E-4</v>
      </c>
    </row>
    <row r="61" spans="1:22" x14ac:dyDescent="0.3">
      <c r="A61" s="2">
        <v>559</v>
      </c>
      <c r="B61" t="s">
        <v>746</v>
      </c>
      <c r="C61" t="s">
        <v>353</v>
      </c>
      <c r="D61" t="s">
        <v>681</v>
      </c>
      <c r="E61" t="s">
        <v>744</v>
      </c>
      <c r="F61" t="s">
        <v>679</v>
      </c>
      <c r="G61" s="11">
        <v>13.7</v>
      </c>
      <c r="H61" s="11">
        <v>7.4</v>
      </c>
      <c r="I61" s="11">
        <v>1.7</v>
      </c>
      <c r="J61" s="11">
        <v>3.7</v>
      </c>
      <c r="K61" s="11">
        <v>1.3</v>
      </c>
      <c r="L61" s="11">
        <v>59.4</v>
      </c>
      <c r="M61" s="4">
        <v>25</v>
      </c>
      <c r="N61" s="11">
        <v>12.7</v>
      </c>
      <c r="O61" s="11">
        <v>11.3</v>
      </c>
      <c r="P61" s="11">
        <v>11.6</v>
      </c>
      <c r="Q61" s="11">
        <v>9.9</v>
      </c>
      <c r="R61" s="3" t="s">
        <v>682</v>
      </c>
      <c r="S61" s="11">
        <v>5.5</v>
      </c>
      <c r="T61" s="5">
        <v>45975.511782407404</v>
      </c>
      <c r="U61" s="5">
        <v>45975.512025462966</v>
      </c>
      <c r="V61" s="6">
        <v>2.430555468890816E-4</v>
      </c>
    </row>
    <row r="62" spans="1:22" x14ac:dyDescent="0.3">
      <c r="A62" s="2">
        <v>560</v>
      </c>
      <c r="B62" t="s">
        <v>747</v>
      </c>
      <c r="C62" t="s">
        <v>353</v>
      </c>
      <c r="D62" t="s">
        <v>681</v>
      </c>
      <c r="E62" t="s">
        <v>744</v>
      </c>
      <c r="F62" t="s">
        <v>679</v>
      </c>
      <c r="G62" s="11">
        <v>13.6</v>
      </c>
      <c r="H62" s="11">
        <v>7.7</v>
      </c>
      <c r="I62" s="11">
        <v>1.7</v>
      </c>
      <c r="J62" s="11">
        <v>3.5</v>
      </c>
      <c r="K62" s="11">
        <v>1.2</v>
      </c>
      <c r="L62" s="11">
        <v>61</v>
      </c>
      <c r="M62" s="4">
        <v>25</v>
      </c>
      <c r="N62" s="11">
        <v>10.3</v>
      </c>
      <c r="O62" s="11">
        <v>9</v>
      </c>
      <c r="P62" s="11">
        <v>9.4</v>
      </c>
      <c r="Q62" s="11">
        <v>8.6</v>
      </c>
      <c r="R62" s="3" t="s">
        <v>682</v>
      </c>
      <c r="S62" s="11">
        <v>5.3</v>
      </c>
      <c r="T62" s="5">
        <v>45975.512175925927</v>
      </c>
      <c r="U62" s="5">
        <v>45975.512418981481</v>
      </c>
      <c r="V62" s="6">
        <v>2.430555468890816E-4</v>
      </c>
    </row>
    <row r="63" spans="1:22" x14ac:dyDescent="0.3">
      <c r="A63" s="2">
        <v>561</v>
      </c>
      <c r="B63" t="s">
        <v>748</v>
      </c>
      <c r="C63" t="s">
        <v>353</v>
      </c>
      <c r="D63" t="s">
        <v>681</v>
      </c>
      <c r="E63" t="s">
        <v>375</v>
      </c>
      <c r="F63" t="s">
        <v>679</v>
      </c>
      <c r="G63" s="11">
        <v>13.8</v>
      </c>
      <c r="H63" s="11">
        <v>7.3</v>
      </c>
      <c r="I63" s="11">
        <v>1.5</v>
      </c>
      <c r="J63" s="11">
        <v>3.7</v>
      </c>
      <c r="K63" s="11">
        <v>1.4</v>
      </c>
      <c r="L63" s="11">
        <v>58.1</v>
      </c>
      <c r="M63" s="4">
        <v>25</v>
      </c>
      <c r="N63" s="11">
        <v>8.6999999999999993</v>
      </c>
      <c r="O63" s="11">
        <v>9.1</v>
      </c>
      <c r="P63" s="11">
        <v>8.1999999999999993</v>
      </c>
      <c r="Q63" s="11">
        <v>6.3</v>
      </c>
      <c r="R63" s="11">
        <v>9.6</v>
      </c>
      <c r="S63" s="11">
        <v>3</v>
      </c>
      <c r="T63" s="5">
        <v>45975.618101851855</v>
      </c>
      <c r="U63" s="5">
        <v>45975.618263888886</v>
      </c>
      <c r="V63" s="6">
        <v>1.6203703125938773E-4</v>
      </c>
    </row>
    <row r="64" spans="1:22" x14ac:dyDescent="0.3">
      <c r="A64" s="2">
        <v>562</v>
      </c>
      <c r="B64" t="s">
        <v>749</v>
      </c>
      <c r="C64" t="s">
        <v>353</v>
      </c>
      <c r="D64" t="s">
        <v>681</v>
      </c>
      <c r="E64" t="s">
        <v>375</v>
      </c>
      <c r="F64" t="s">
        <v>679</v>
      </c>
      <c r="G64" s="11">
        <v>13.7</v>
      </c>
      <c r="H64" s="11">
        <v>7</v>
      </c>
      <c r="I64" s="11">
        <v>1.5</v>
      </c>
      <c r="J64" s="11">
        <v>3.2</v>
      </c>
      <c r="K64" s="11">
        <v>1.1000000000000001</v>
      </c>
      <c r="L64" s="11">
        <v>60.4</v>
      </c>
      <c r="M64" s="4">
        <v>25</v>
      </c>
      <c r="N64" s="11">
        <v>10.5</v>
      </c>
      <c r="O64" s="11">
        <v>8</v>
      </c>
      <c r="P64" s="11">
        <v>6.7</v>
      </c>
      <c r="Q64" s="11">
        <v>6.6</v>
      </c>
      <c r="R64" s="3" t="s">
        <v>682</v>
      </c>
      <c r="S64" s="11">
        <v>3.8</v>
      </c>
      <c r="T64" s="5">
        <v>45975.618379629632</v>
      </c>
      <c r="U64" s="5">
        <v>45975.618541666663</v>
      </c>
      <c r="V64" s="6">
        <v>1.6203703125938773E-4</v>
      </c>
    </row>
    <row r="65" spans="1:22" x14ac:dyDescent="0.3">
      <c r="A65" s="2">
        <v>563</v>
      </c>
      <c r="B65" t="s">
        <v>750</v>
      </c>
      <c r="C65" t="s">
        <v>353</v>
      </c>
      <c r="D65" t="s">
        <v>681</v>
      </c>
      <c r="E65" t="s">
        <v>375</v>
      </c>
      <c r="F65" t="s">
        <v>679</v>
      </c>
      <c r="G65" s="11">
        <v>13.8</v>
      </c>
      <c r="H65" s="11">
        <v>7.3</v>
      </c>
      <c r="I65" s="11">
        <v>1.6</v>
      </c>
      <c r="J65" s="11">
        <v>3.9</v>
      </c>
      <c r="K65" s="11">
        <v>1.3</v>
      </c>
      <c r="L65" s="11">
        <v>59</v>
      </c>
      <c r="M65" s="4">
        <v>25</v>
      </c>
      <c r="N65" s="11">
        <v>10.7</v>
      </c>
      <c r="O65" s="11">
        <v>11.2</v>
      </c>
      <c r="P65" s="11">
        <v>10.199999999999999</v>
      </c>
      <c r="Q65" s="11">
        <v>8.1999999999999993</v>
      </c>
      <c r="R65" s="3" t="s">
        <v>682</v>
      </c>
      <c r="S65" s="11">
        <v>5.4</v>
      </c>
      <c r="T65" s="5">
        <v>45975.618680555555</v>
      </c>
      <c r="U65" s="5">
        <v>45975.618854166663</v>
      </c>
      <c r="V65" s="6">
        <v>1.6203703125938773E-4</v>
      </c>
    </row>
    <row r="66" spans="1:22" x14ac:dyDescent="0.3">
      <c r="A66" s="2">
        <v>564</v>
      </c>
      <c r="B66" t="s">
        <v>751</v>
      </c>
      <c r="C66" t="s">
        <v>353</v>
      </c>
      <c r="D66" t="s">
        <v>681</v>
      </c>
      <c r="E66" t="s">
        <v>375</v>
      </c>
      <c r="F66" t="s">
        <v>679</v>
      </c>
      <c r="G66" s="11">
        <v>13.8</v>
      </c>
      <c r="H66" s="11">
        <v>7</v>
      </c>
      <c r="I66" s="11">
        <v>1.5</v>
      </c>
      <c r="J66" s="11">
        <v>3.3</v>
      </c>
      <c r="K66" s="11">
        <v>1.1000000000000001</v>
      </c>
      <c r="L66" s="11">
        <v>60.7</v>
      </c>
      <c r="M66" s="4">
        <v>25</v>
      </c>
      <c r="N66" s="11">
        <v>11.6</v>
      </c>
      <c r="O66" s="11">
        <v>8.8000000000000007</v>
      </c>
      <c r="P66" s="11">
        <v>5.9</v>
      </c>
      <c r="Q66" s="11">
        <v>6.7</v>
      </c>
      <c r="R66" s="3" t="s">
        <v>682</v>
      </c>
      <c r="S66" s="11">
        <v>3</v>
      </c>
      <c r="T66" s="5">
        <v>45978.495428240742</v>
      </c>
      <c r="U66" s="5">
        <v>45978.495671296296</v>
      </c>
      <c r="V66" s="6">
        <v>2.430555468890816E-4</v>
      </c>
    </row>
    <row r="67" spans="1:22" x14ac:dyDescent="0.3">
      <c r="A67" s="2">
        <v>565</v>
      </c>
      <c r="B67" t="s">
        <v>752</v>
      </c>
      <c r="C67" t="s">
        <v>353</v>
      </c>
      <c r="D67" t="s">
        <v>681</v>
      </c>
      <c r="E67" t="s">
        <v>375</v>
      </c>
      <c r="F67" t="s">
        <v>679</v>
      </c>
      <c r="G67" s="11">
        <v>13.9</v>
      </c>
      <c r="H67" s="11">
        <v>7.1</v>
      </c>
      <c r="I67" s="11">
        <v>1.6</v>
      </c>
      <c r="J67" s="11">
        <v>3.7</v>
      </c>
      <c r="K67" s="11">
        <v>1.3</v>
      </c>
      <c r="L67" s="11">
        <v>58.6</v>
      </c>
      <c r="M67" s="4">
        <v>25</v>
      </c>
      <c r="N67" s="11">
        <v>10.9</v>
      </c>
      <c r="O67" s="11">
        <v>10.5</v>
      </c>
      <c r="P67" s="11">
        <v>8.6</v>
      </c>
      <c r="Q67" s="11">
        <v>7.3</v>
      </c>
      <c r="R67" s="3" t="s">
        <v>682</v>
      </c>
      <c r="S67" s="11">
        <v>4.0999999999999996</v>
      </c>
      <c r="T67" s="5">
        <v>45978.495798611111</v>
      </c>
      <c r="U67" s="5">
        <v>45978.496157407404</v>
      </c>
      <c r="V67" s="6">
        <v>3.5879630013369024E-4</v>
      </c>
    </row>
    <row r="68" spans="1:22" x14ac:dyDescent="0.3">
      <c r="A68" s="2">
        <v>566</v>
      </c>
      <c r="B68" t="s">
        <v>753</v>
      </c>
      <c r="C68" t="s">
        <v>353</v>
      </c>
      <c r="D68" t="s">
        <v>681</v>
      </c>
      <c r="E68" t="s">
        <v>375</v>
      </c>
      <c r="F68" t="s">
        <v>679</v>
      </c>
      <c r="G68" s="11">
        <v>13.7</v>
      </c>
      <c r="H68" s="11">
        <v>7.7</v>
      </c>
      <c r="I68" s="11">
        <v>1.5</v>
      </c>
      <c r="J68" s="11">
        <v>3.6</v>
      </c>
      <c r="K68" s="11">
        <v>1.3</v>
      </c>
      <c r="L68" s="11">
        <v>58.6</v>
      </c>
      <c r="M68" s="4">
        <v>25</v>
      </c>
      <c r="N68" s="11">
        <v>8.1</v>
      </c>
      <c r="O68" s="11">
        <v>8.3000000000000007</v>
      </c>
      <c r="P68" s="11">
        <v>8.4</v>
      </c>
      <c r="Q68" s="11">
        <v>6.4</v>
      </c>
      <c r="R68" s="11">
        <v>10.7</v>
      </c>
      <c r="S68" s="11">
        <v>4.2</v>
      </c>
      <c r="T68" s="5">
        <v>45978.496249999997</v>
      </c>
      <c r="U68" s="5">
        <v>45978.496504629627</v>
      </c>
      <c r="V68" s="6">
        <v>2.430555468890816E-4</v>
      </c>
    </row>
    <row r="69" spans="1:22" x14ac:dyDescent="0.3">
      <c r="A69" s="2">
        <v>567</v>
      </c>
      <c r="B69" t="s">
        <v>754</v>
      </c>
      <c r="C69" t="s">
        <v>353</v>
      </c>
      <c r="D69" t="s">
        <v>681</v>
      </c>
      <c r="E69" t="s">
        <v>382</v>
      </c>
      <c r="F69" t="s">
        <v>679</v>
      </c>
      <c r="G69" s="11">
        <v>13.8</v>
      </c>
      <c r="H69" s="11">
        <v>7.3</v>
      </c>
      <c r="I69" s="11">
        <v>1.7</v>
      </c>
      <c r="J69" s="11">
        <v>3.8</v>
      </c>
      <c r="K69" s="11">
        <v>1.2</v>
      </c>
      <c r="L69" s="11">
        <v>59.6</v>
      </c>
      <c r="M69" s="4">
        <v>25</v>
      </c>
      <c r="N69" s="11">
        <v>12.6</v>
      </c>
      <c r="O69" s="11">
        <v>10.7</v>
      </c>
      <c r="P69" s="11">
        <v>9.6</v>
      </c>
      <c r="Q69" s="11">
        <v>8.9</v>
      </c>
      <c r="R69" s="3" t="s">
        <v>682</v>
      </c>
      <c r="S69" s="11">
        <v>4.5</v>
      </c>
      <c r="T69" s="5">
        <v>45978.50712962963</v>
      </c>
      <c r="U69" s="5">
        <v>45978.507430555554</v>
      </c>
      <c r="V69" s="6">
        <v>3.0092592351138592E-4</v>
      </c>
    </row>
    <row r="70" spans="1:22" x14ac:dyDescent="0.3">
      <c r="A70" s="2">
        <v>568</v>
      </c>
      <c r="B70" t="s">
        <v>755</v>
      </c>
      <c r="C70" t="s">
        <v>353</v>
      </c>
      <c r="D70" t="s">
        <v>681</v>
      </c>
      <c r="E70" t="s">
        <v>382</v>
      </c>
      <c r="F70" t="s">
        <v>679</v>
      </c>
      <c r="G70" s="11">
        <v>13.7</v>
      </c>
      <c r="H70" s="11">
        <v>7.1</v>
      </c>
      <c r="I70" s="11">
        <v>1.7</v>
      </c>
      <c r="J70" s="11">
        <v>3.3</v>
      </c>
      <c r="K70" s="11">
        <v>1.1000000000000001</v>
      </c>
      <c r="L70" s="11">
        <v>61.9</v>
      </c>
      <c r="M70" s="4">
        <v>25</v>
      </c>
      <c r="N70" s="11">
        <v>10.8</v>
      </c>
      <c r="O70" s="11">
        <v>8.8000000000000007</v>
      </c>
      <c r="P70" s="11">
        <v>8.3000000000000007</v>
      </c>
      <c r="Q70" s="11">
        <v>9.1999999999999993</v>
      </c>
      <c r="R70" s="3" t="s">
        <v>682</v>
      </c>
      <c r="S70" s="11">
        <v>4.9000000000000004</v>
      </c>
      <c r="T70" s="5">
        <v>45978.507557870369</v>
      </c>
      <c r="U70" s="5">
        <v>45978.5078587963</v>
      </c>
      <c r="V70" s="6">
        <v>3.0092592351138592E-4</v>
      </c>
    </row>
    <row r="71" spans="1:22" x14ac:dyDescent="0.3">
      <c r="A71" s="2">
        <v>569</v>
      </c>
      <c r="B71" t="s">
        <v>756</v>
      </c>
      <c r="C71" t="s">
        <v>353</v>
      </c>
      <c r="D71" t="s">
        <v>681</v>
      </c>
      <c r="E71" t="s">
        <v>382</v>
      </c>
      <c r="F71" t="s">
        <v>679</v>
      </c>
      <c r="G71" s="11">
        <v>13.7</v>
      </c>
      <c r="H71" s="11">
        <v>7.7</v>
      </c>
      <c r="I71" s="11">
        <v>1.8</v>
      </c>
      <c r="J71" s="11">
        <v>4</v>
      </c>
      <c r="K71" s="11">
        <v>1.3</v>
      </c>
      <c r="L71" s="11">
        <v>59.4</v>
      </c>
      <c r="M71" s="4">
        <v>25</v>
      </c>
      <c r="N71" s="11">
        <v>13.6</v>
      </c>
      <c r="O71" s="11">
        <v>12.4</v>
      </c>
      <c r="P71" s="3" t="s">
        <v>690</v>
      </c>
      <c r="Q71" s="11">
        <v>12.1</v>
      </c>
      <c r="R71" s="3" t="s">
        <v>682</v>
      </c>
      <c r="S71" s="11">
        <v>7.2</v>
      </c>
      <c r="T71" s="5">
        <v>45978.507939814815</v>
      </c>
      <c r="U71" s="5">
        <v>45978.508090277777</v>
      </c>
      <c r="V71" s="6">
        <v>1.5046296175569296E-4</v>
      </c>
    </row>
    <row r="72" spans="1:22" x14ac:dyDescent="0.3">
      <c r="A72" s="2">
        <v>570</v>
      </c>
      <c r="B72" t="s">
        <v>757</v>
      </c>
      <c r="C72" t="s">
        <v>353</v>
      </c>
      <c r="D72" t="s">
        <v>681</v>
      </c>
      <c r="E72" t="s">
        <v>386</v>
      </c>
      <c r="F72" t="s">
        <v>679</v>
      </c>
      <c r="G72" s="11">
        <v>13.7</v>
      </c>
      <c r="H72" s="11">
        <v>7.4</v>
      </c>
      <c r="I72" s="11">
        <v>1.6</v>
      </c>
      <c r="J72" s="11">
        <v>3.5</v>
      </c>
      <c r="K72" s="11">
        <v>1.2</v>
      </c>
      <c r="L72" s="11">
        <v>60.6</v>
      </c>
      <c r="M72" s="4">
        <v>25</v>
      </c>
      <c r="N72" s="11">
        <v>10.8</v>
      </c>
      <c r="O72" s="11">
        <v>9.5</v>
      </c>
      <c r="P72" s="11">
        <v>8.8000000000000007</v>
      </c>
      <c r="Q72" s="11">
        <v>8.5</v>
      </c>
      <c r="R72" s="3" t="s">
        <v>682</v>
      </c>
      <c r="S72" s="11">
        <v>4.9000000000000004</v>
      </c>
      <c r="T72" s="5">
        <v>45978.539918981478</v>
      </c>
      <c r="U72" s="5">
        <v>45978.54005787037</v>
      </c>
      <c r="V72" s="6">
        <v>1.5046296175569296E-4</v>
      </c>
    </row>
    <row r="73" spans="1:22" x14ac:dyDescent="0.3">
      <c r="A73" s="2">
        <v>571</v>
      </c>
      <c r="B73" t="s">
        <v>758</v>
      </c>
      <c r="C73" t="s">
        <v>353</v>
      </c>
      <c r="D73" t="s">
        <v>681</v>
      </c>
      <c r="E73" t="s">
        <v>386</v>
      </c>
      <c r="F73" t="s">
        <v>679</v>
      </c>
      <c r="G73" s="11">
        <v>13.7</v>
      </c>
      <c r="H73" s="11">
        <v>7.6</v>
      </c>
      <c r="I73" s="11">
        <v>1.6</v>
      </c>
      <c r="J73" s="11">
        <v>3.6</v>
      </c>
      <c r="K73" s="11">
        <v>1.2</v>
      </c>
      <c r="L73" s="11">
        <v>60</v>
      </c>
      <c r="M73" s="4">
        <v>25</v>
      </c>
      <c r="N73" s="11">
        <v>12.2</v>
      </c>
      <c r="O73" s="11">
        <v>9.6999999999999993</v>
      </c>
      <c r="P73" s="11">
        <v>10.1</v>
      </c>
      <c r="Q73" s="11">
        <v>9.1</v>
      </c>
      <c r="R73" s="3" t="s">
        <v>682</v>
      </c>
      <c r="S73" s="11">
        <v>6.3</v>
      </c>
      <c r="T73" s="5">
        <v>45978.540138888886</v>
      </c>
      <c r="U73" s="5">
        <v>45978.540289351855</v>
      </c>
      <c r="V73" s="6">
        <v>1.5046296175569296E-4</v>
      </c>
    </row>
    <row r="74" spans="1:22" x14ac:dyDescent="0.3">
      <c r="A74" s="2">
        <v>572</v>
      </c>
      <c r="B74" t="s">
        <v>759</v>
      </c>
      <c r="C74" t="s">
        <v>353</v>
      </c>
      <c r="D74" t="s">
        <v>681</v>
      </c>
      <c r="E74" t="s">
        <v>386</v>
      </c>
      <c r="F74" t="s">
        <v>679</v>
      </c>
      <c r="G74" s="11">
        <v>13.7</v>
      </c>
      <c r="H74" s="11">
        <v>7.5</v>
      </c>
      <c r="I74" s="11">
        <v>1.8</v>
      </c>
      <c r="J74" s="11">
        <v>3.8</v>
      </c>
      <c r="K74" s="11">
        <v>1.3</v>
      </c>
      <c r="L74" s="11">
        <v>60</v>
      </c>
      <c r="M74" s="4">
        <v>25</v>
      </c>
      <c r="N74" s="11">
        <v>12.9</v>
      </c>
      <c r="O74" s="11">
        <v>11.3</v>
      </c>
      <c r="P74" s="3" t="s">
        <v>690</v>
      </c>
      <c r="Q74" s="11">
        <v>10.199999999999999</v>
      </c>
      <c r="R74" s="3" t="s">
        <v>682</v>
      </c>
      <c r="S74" s="11">
        <v>8.1999999999999993</v>
      </c>
      <c r="T74" s="5">
        <v>45978.540370370371</v>
      </c>
      <c r="U74" s="5">
        <v>45978.540520833332</v>
      </c>
      <c r="V74" s="6">
        <v>1.5046296175569296E-4</v>
      </c>
    </row>
    <row r="75" spans="1:22" x14ac:dyDescent="0.3">
      <c r="A75" s="2">
        <v>573</v>
      </c>
      <c r="B75" t="s">
        <v>760</v>
      </c>
      <c r="C75" t="s">
        <v>353</v>
      </c>
      <c r="D75" t="s">
        <v>681</v>
      </c>
      <c r="E75" t="s">
        <v>390</v>
      </c>
      <c r="F75" t="s">
        <v>679</v>
      </c>
      <c r="G75" s="11">
        <v>14</v>
      </c>
      <c r="H75" s="11">
        <v>7.3</v>
      </c>
      <c r="I75" s="11">
        <v>1.6</v>
      </c>
      <c r="J75" s="11">
        <v>4</v>
      </c>
      <c r="K75" s="11">
        <v>1.4</v>
      </c>
      <c r="L75" s="11">
        <v>57.4</v>
      </c>
      <c r="M75" s="4">
        <v>25</v>
      </c>
      <c r="N75" s="11">
        <v>12</v>
      </c>
      <c r="O75" s="11">
        <v>12.3</v>
      </c>
      <c r="P75" s="11">
        <v>12.2</v>
      </c>
      <c r="Q75" s="11">
        <v>7</v>
      </c>
      <c r="R75" s="11">
        <v>9.5</v>
      </c>
      <c r="S75" s="11">
        <v>6.2</v>
      </c>
      <c r="T75" s="5">
        <v>45978.550532407404</v>
      </c>
      <c r="U75" s="5">
        <v>45978.550879629627</v>
      </c>
      <c r="V75" s="6">
        <v>3.4722223062999547E-4</v>
      </c>
    </row>
    <row r="76" spans="1:22" x14ac:dyDescent="0.3">
      <c r="A76" s="2">
        <v>574</v>
      </c>
      <c r="B76" t="s">
        <v>761</v>
      </c>
      <c r="C76" t="s">
        <v>353</v>
      </c>
      <c r="D76" t="s">
        <v>681</v>
      </c>
      <c r="E76" t="s">
        <v>390</v>
      </c>
      <c r="F76" t="s">
        <v>679</v>
      </c>
      <c r="G76" s="11">
        <v>13.7</v>
      </c>
      <c r="H76" s="11">
        <v>7.5</v>
      </c>
      <c r="I76" s="11">
        <v>1.6</v>
      </c>
      <c r="J76" s="11">
        <v>3.4</v>
      </c>
      <c r="K76" s="11">
        <v>1.2</v>
      </c>
      <c r="L76" s="11">
        <v>61.1</v>
      </c>
      <c r="M76" s="4">
        <v>25</v>
      </c>
      <c r="N76" s="11">
        <v>9.3000000000000007</v>
      </c>
      <c r="O76" s="11">
        <v>8.6999999999999993</v>
      </c>
      <c r="P76" s="11">
        <v>8</v>
      </c>
      <c r="Q76" s="11">
        <v>10.5</v>
      </c>
      <c r="R76" s="3" t="s">
        <v>682</v>
      </c>
      <c r="S76" s="11">
        <v>4.2</v>
      </c>
      <c r="T76" s="5">
        <v>45978.55097222222</v>
      </c>
      <c r="U76" s="5">
        <v>45978.551111111112</v>
      </c>
      <c r="V76" s="6">
        <v>1.3888889225199819E-4</v>
      </c>
    </row>
    <row r="77" spans="1:22" x14ac:dyDescent="0.3">
      <c r="A77" s="2">
        <v>575</v>
      </c>
      <c r="B77" t="s">
        <v>762</v>
      </c>
      <c r="C77" t="s">
        <v>353</v>
      </c>
      <c r="D77" t="s">
        <v>681</v>
      </c>
      <c r="E77" t="s">
        <v>390</v>
      </c>
      <c r="F77" t="s">
        <v>679</v>
      </c>
      <c r="G77" s="11">
        <v>13.8</v>
      </c>
      <c r="H77" s="11">
        <v>7.6</v>
      </c>
      <c r="I77" s="11">
        <v>1.6</v>
      </c>
      <c r="J77" s="11">
        <v>3.8</v>
      </c>
      <c r="K77" s="11">
        <v>1.4</v>
      </c>
      <c r="L77" s="11">
        <v>57.8</v>
      </c>
      <c r="M77" s="4">
        <v>25</v>
      </c>
      <c r="N77" s="11">
        <v>9.1</v>
      </c>
      <c r="O77" s="11">
        <v>9.9</v>
      </c>
      <c r="P77" s="3" t="s">
        <v>690</v>
      </c>
      <c r="Q77" s="11">
        <v>9.1999999999999993</v>
      </c>
      <c r="R77" s="11">
        <v>8.4</v>
      </c>
      <c r="S77" s="11">
        <v>6.4</v>
      </c>
      <c r="T77" s="5">
        <v>45978.551261574074</v>
      </c>
      <c r="U77" s="5">
        <v>45978.551446759258</v>
      </c>
      <c r="V77" s="6">
        <v>1.8518519937060773E-4</v>
      </c>
    </row>
    <row r="78" spans="1:22" x14ac:dyDescent="0.3">
      <c r="B78" s="1" t="s">
        <v>42</v>
      </c>
      <c r="G78" s="9">
        <f t="shared" ref="G78:S78" si="0">AVERAGE(G4:G77)</f>
        <v>13.889189189189198</v>
      </c>
      <c r="H78" s="9">
        <f t="shared" si="0"/>
        <v>8.8698630136986303</v>
      </c>
      <c r="I78" s="9">
        <f t="shared" si="0"/>
        <v>1.7246575342465753</v>
      </c>
      <c r="J78" s="9">
        <f t="shared" si="0"/>
        <v>4.1783783783783788</v>
      </c>
      <c r="K78" s="9">
        <f t="shared" si="0"/>
        <v>1.4671232876712326</v>
      </c>
      <c r="L78" s="9">
        <f t="shared" si="0"/>
        <v>58.031081081081069</v>
      </c>
      <c r="M78" s="10">
        <f t="shared" si="0"/>
        <v>25</v>
      </c>
      <c r="N78" s="9">
        <f t="shared" si="0"/>
        <v>12.333333333333336</v>
      </c>
      <c r="O78" s="9">
        <f t="shared" si="0"/>
        <v>12.315942028985511</v>
      </c>
      <c r="P78" s="9">
        <f t="shared" si="0"/>
        <v>8.8196078431372555</v>
      </c>
      <c r="Q78" s="9">
        <f t="shared" si="0"/>
        <v>7.6590163934426236</v>
      </c>
      <c r="R78" s="9">
        <f t="shared" si="0"/>
        <v>9.0549999999999997</v>
      </c>
      <c r="S78" s="9">
        <f t="shared" si="0"/>
        <v>8.454411764705883</v>
      </c>
    </row>
    <row r="79" spans="1:22" x14ac:dyDescent="0.3">
      <c r="B79" s="1" t="s">
        <v>43</v>
      </c>
      <c r="G79" s="9">
        <f t="shared" ref="G79:S79" si="1">MIN(G4:G77)</f>
        <v>11.5</v>
      </c>
      <c r="H79" s="9">
        <f t="shared" si="1"/>
        <v>6.9</v>
      </c>
      <c r="I79" s="9">
        <f t="shared" si="1"/>
        <v>1.2</v>
      </c>
      <c r="J79" s="9">
        <f t="shared" si="1"/>
        <v>2.8</v>
      </c>
      <c r="K79" s="9">
        <f t="shared" si="1"/>
        <v>1</v>
      </c>
      <c r="L79" s="9">
        <f t="shared" si="1"/>
        <v>25.5</v>
      </c>
      <c r="M79" s="10">
        <f t="shared" si="1"/>
        <v>25</v>
      </c>
      <c r="N79" s="9">
        <f t="shared" si="1"/>
        <v>6.9</v>
      </c>
      <c r="O79" s="9">
        <f t="shared" si="1"/>
        <v>5.6</v>
      </c>
      <c r="P79" s="9">
        <f t="shared" si="1"/>
        <v>4.8</v>
      </c>
      <c r="Q79" s="9">
        <f t="shared" si="1"/>
        <v>3.4</v>
      </c>
      <c r="R79" s="9">
        <f t="shared" si="1"/>
        <v>7.2</v>
      </c>
      <c r="S79" s="9">
        <f t="shared" si="1"/>
        <v>3</v>
      </c>
    </row>
    <row r="80" spans="1:22" x14ac:dyDescent="0.3">
      <c r="B80" s="1" t="s">
        <v>44</v>
      </c>
      <c r="G80" s="9">
        <f t="shared" ref="G80:S80" si="2">MAX(G4:G77)</f>
        <v>16</v>
      </c>
      <c r="H80" s="9">
        <f t="shared" si="2"/>
        <v>36.9</v>
      </c>
      <c r="I80" s="9">
        <f t="shared" si="2"/>
        <v>4.5999999999999996</v>
      </c>
      <c r="J80" s="9">
        <f t="shared" si="2"/>
        <v>27.3</v>
      </c>
      <c r="K80" s="9">
        <f t="shared" si="2"/>
        <v>6.2</v>
      </c>
      <c r="L80" s="9">
        <f t="shared" si="2"/>
        <v>62.7</v>
      </c>
      <c r="M80" s="10">
        <f t="shared" si="2"/>
        <v>25</v>
      </c>
      <c r="N80" s="9">
        <f t="shared" si="2"/>
        <v>56.8</v>
      </c>
      <c r="O80" s="9">
        <f t="shared" si="2"/>
        <v>79.7</v>
      </c>
      <c r="P80" s="9">
        <f t="shared" si="2"/>
        <v>13</v>
      </c>
      <c r="Q80" s="9">
        <f t="shared" si="2"/>
        <v>13</v>
      </c>
      <c r="R80" s="9">
        <f t="shared" si="2"/>
        <v>11.1</v>
      </c>
      <c r="S80" s="9">
        <f t="shared" si="2"/>
        <v>61.4</v>
      </c>
    </row>
    <row r="81" spans="2:19" x14ac:dyDescent="0.3">
      <c r="B81" s="1" t="s">
        <v>45</v>
      </c>
      <c r="G81" s="9">
        <f t="shared" ref="G81:S81" si="3">STDEV(G4:G77)</f>
        <v>0.72933964644843341</v>
      </c>
      <c r="H81" s="9">
        <f t="shared" si="3"/>
        <v>3.9657451636730716</v>
      </c>
      <c r="I81" s="9">
        <f t="shared" si="3"/>
        <v>0.50381346358377455</v>
      </c>
      <c r="J81" s="9">
        <f t="shared" si="3"/>
        <v>2.9760813745627428</v>
      </c>
      <c r="K81" s="9">
        <f t="shared" si="3"/>
        <v>0.73049731814104835</v>
      </c>
      <c r="L81" s="9">
        <f t="shared" si="3"/>
        <v>5.2938559806648255</v>
      </c>
      <c r="M81" s="10">
        <f t="shared" si="3"/>
        <v>0</v>
      </c>
      <c r="N81" s="9">
        <f t="shared" si="3"/>
        <v>7.2350793049571678</v>
      </c>
      <c r="O81" s="9">
        <f t="shared" si="3"/>
        <v>10.112813991175713</v>
      </c>
      <c r="P81" s="9">
        <f t="shared" si="3"/>
        <v>2.2216227949715526</v>
      </c>
      <c r="Q81" s="9">
        <f t="shared" si="3"/>
        <v>1.9714949530056509</v>
      </c>
      <c r="R81" s="9">
        <f t="shared" si="3"/>
        <v>1.1137773565663791</v>
      </c>
      <c r="S81" s="9">
        <f t="shared" si="3"/>
        <v>10.589073977856431</v>
      </c>
    </row>
    <row r="83" spans="2:19" x14ac:dyDescent="0.3">
      <c r="B83" s="1" t="s">
        <v>46</v>
      </c>
      <c r="G83" s="9" t="s">
        <v>47</v>
      </c>
      <c r="H83" s="9" t="s">
        <v>47</v>
      </c>
      <c r="I83" s="9" t="s">
        <v>47</v>
      </c>
      <c r="J83" s="9" t="s">
        <v>47</v>
      </c>
      <c r="K83" s="9" t="s">
        <v>47</v>
      </c>
      <c r="L83" s="9" t="s">
        <v>47</v>
      </c>
      <c r="M83" s="10" t="s">
        <v>47</v>
      </c>
      <c r="N83" s="9" t="s">
        <v>47</v>
      </c>
      <c r="O83" s="9" t="s">
        <v>47</v>
      </c>
      <c r="P83" s="9" t="s">
        <v>47</v>
      </c>
      <c r="Q83" s="9" t="s">
        <v>47</v>
      </c>
      <c r="R83" s="9" t="s">
        <v>47</v>
      </c>
      <c r="S83" s="9" t="s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B5EC-F75F-4D06-9DBF-F8BF5CBE320A}">
  <dimension ref="A1:K141"/>
  <sheetViews>
    <sheetView workbookViewId="0"/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7" max="8" width="11.6640625" bestFit="1" customWidth="1"/>
    <col min="9" max="10" width="17.88671875" bestFit="1" customWidth="1"/>
    <col min="11" max="11" width="11.6640625" bestFit="1" customWidth="1"/>
  </cols>
  <sheetData>
    <row r="1" spans="1:11" s="1" customFormat="1" ht="13.8" x14ac:dyDescent="0.25">
      <c r="A1" s="1" t="s">
        <v>0</v>
      </c>
    </row>
    <row r="3" spans="1:11" x14ac:dyDescent="0.3">
      <c r="A3" s="2" t="s">
        <v>1</v>
      </c>
      <c r="B3" s="2" t="s">
        <v>763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19</v>
      </c>
      <c r="H3" s="2" t="s">
        <v>764</v>
      </c>
      <c r="I3" s="2" t="s">
        <v>20</v>
      </c>
      <c r="J3" s="2" t="s">
        <v>21</v>
      </c>
      <c r="K3" s="2" t="s">
        <v>22</v>
      </c>
    </row>
    <row r="4" spans="1:11" x14ac:dyDescent="0.3">
      <c r="A4" s="2">
        <v>576</v>
      </c>
      <c r="B4" t="s">
        <v>765</v>
      </c>
      <c r="C4" t="s">
        <v>353</v>
      </c>
      <c r="D4" t="s">
        <v>466</v>
      </c>
      <c r="E4" t="s">
        <v>354</v>
      </c>
      <c r="F4" t="s">
        <v>763</v>
      </c>
      <c r="G4" s="4">
        <v>25</v>
      </c>
      <c r="H4" s="3" t="s">
        <v>766</v>
      </c>
      <c r="I4" s="5">
        <v>45974.468344907407</v>
      </c>
      <c r="J4" s="5">
        <v>45974.468657407408</v>
      </c>
      <c r="K4" s="6">
        <v>3.1249999301508069E-4</v>
      </c>
    </row>
    <row r="5" spans="1:11" x14ac:dyDescent="0.3">
      <c r="A5" s="2">
        <v>577</v>
      </c>
      <c r="B5" t="s">
        <v>767</v>
      </c>
      <c r="C5" t="s">
        <v>353</v>
      </c>
      <c r="D5" t="s">
        <v>466</v>
      </c>
      <c r="E5" t="s">
        <v>354</v>
      </c>
      <c r="F5" t="s">
        <v>763</v>
      </c>
      <c r="G5" s="4">
        <v>25</v>
      </c>
      <c r="H5" s="3" t="s">
        <v>766</v>
      </c>
      <c r="I5" s="5">
        <v>45974.46875</v>
      </c>
      <c r="J5" s="5">
        <v>45974.469074074077</v>
      </c>
      <c r="K5" s="6">
        <v>3.1249999301508069E-4</v>
      </c>
    </row>
    <row r="6" spans="1:11" x14ac:dyDescent="0.3">
      <c r="A6" s="2">
        <v>578</v>
      </c>
      <c r="B6" t="s">
        <v>768</v>
      </c>
      <c r="C6" t="s">
        <v>353</v>
      </c>
      <c r="D6" t="s">
        <v>466</v>
      </c>
      <c r="E6" t="s">
        <v>354</v>
      </c>
      <c r="F6" t="s">
        <v>763</v>
      </c>
      <c r="G6" s="4">
        <v>25</v>
      </c>
      <c r="H6" s="3" t="s">
        <v>766</v>
      </c>
      <c r="I6" s="5">
        <v>45974.469166666669</v>
      </c>
      <c r="J6" s="5">
        <v>45974.469328703701</v>
      </c>
      <c r="K6" s="6">
        <v>1.6203703125938773E-4</v>
      </c>
    </row>
    <row r="7" spans="1:11" x14ac:dyDescent="0.3">
      <c r="A7" s="2">
        <v>579</v>
      </c>
      <c r="B7" t="s">
        <v>769</v>
      </c>
      <c r="C7" t="s">
        <v>353</v>
      </c>
      <c r="D7" t="s">
        <v>56</v>
      </c>
      <c r="E7" t="s">
        <v>354</v>
      </c>
      <c r="F7" t="s">
        <v>763</v>
      </c>
      <c r="G7" s="4">
        <v>25</v>
      </c>
      <c r="H7" s="3" t="s">
        <v>766</v>
      </c>
      <c r="I7" s="5">
        <v>45974.469918981478</v>
      </c>
      <c r="J7" s="5">
        <v>45974.470196759263</v>
      </c>
      <c r="K7" s="6">
        <v>2.7777778450399637E-4</v>
      </c>
    </row>
    <row r="8" spans="1:11" x14ac:dyDescent="0.3">
      <c r="A8" s="2">
        <v>580</v>
      </c>
      <c r="B8" t="s">
        <v>770</v>
      </c>
      <c r="C8" t="s">
        <v>353</v>
      </c>
      <c r="D8" t="s">
        <v>58</v>
      </c>
      <c r="E8" t="s">
        <v>354</v>
      </c>
      <c r="F8" t="s">
        <v>763</v>
      </c>
      <c r="G8" s="4">
        <v>25</v>
      </c>
      <c r="H8" s="3" t="s">
        <v>766</v>
      </c>
      <c r="I8" s="5">
        <v>45974.470324074071</v>
      </c>
      <c r="J8" s="5">
        <v>45974.470439814817</v>
      </c>
      <c r="K8" s="6">
        <v>1.1574075324460864E-4</v>
      </c>
    </row>
    <row r="9" spans="1:11" x14ac:dyDescent="0.3">
      <c r="A9" s="2">
        <v>581</v>
      </c>
      <c r="B9" t="s">
        <v>771</v>
      </c>
      <c r="C9" t="s">
        <v>353</v>
      </c>
      <c r="D9" t="s">
        <v>61</v>
      </c>
      <c r="E9" t="s">
        <v>354</v>
      </c>
      <c r="F9" t="s">
        <v>763</v>
      </c>
      <c r="G9" s="4">
        <v>25</v>
      </c>
      <c r="H9" s="3" t="s">
        <v>766</v>
      </c>
      <c r="I9" s="5">
        <v>45974.470578703702</v>
      </c>
      <c r="J9" s="5">
        <v>45974.470729166664</v>
      </c>
      <c r="K9" s="6">
        <v>1.6203703125938773E-4</v>
      </c>
    </row>
    <row r="10" spans="1:11" x14ac:dyDescent="0.3">
      <c r="A10" s="2">
        <v>582</v>
      </c>
      <c r="B10" t="s">
        <v>772</v>
      </c>
      <c r="C10" t="s">
        <v>353</v>
      </c>
      <c r="D10" t="s">
        <v>63</v>
      </c>
      <c r="E10" t="s">
        <v>354</v>
      </c>
      <c r="F10" t="s">
        <v>763</v>
      </c>
      <c r="G10" s="4">
        <v>25</v>
      </c>
      <c r="H10" s="3" t="s">
        <v>766</v>
      </c>
      <c r="I10" s="5">
        <v>45974.47084490741</v>
      </c>
      <c r="J10" s="5">
        <v>45974.471203703702</v>
      </c>
      <c r="K10" s="6">
        <v>3.4722223062999547E-4</v>
      </c>
    </row>
    <row r="11" spans="1:11" x14ac:dyDescent="0.3">
      <c r="A11" s="2">
        <v>583</v>
      </c>
      <c r="B11" t="s">
        <v>773</v>
      </c>
      <c r="C11" t="s">
        <v>353</v>
      </c>
      <c r="D11" t="s">
        <v>65</v>
      </c>
      <c r="E11" t="s">
        <v>354</v>
      </c>
      <c r="F11" t="s">
        <v>763</v>
      </c>
      <c r="G11" s="4">
        <v>25</v>
      </c>
      <c r="H11" s="3" t="s">
        <v>766</v>
      </c>
      <c r="I11" s="5">
        <v>45974.471319444441</v>
      </c>
      <c r="J11" s="5">
        <v>45974.471435185187</v>
      </c>
      <c r="K11" s="6">
        <v>1.1574075324460864E-4</v>
      </c>
    </row>
    <row r="12" spans="1:11" x14ac:dyDescent="0.3">
      <c r="A12" s="2">
        <v>584</v>
      </c>
      <c r="B12" t="s">
        <v>774</v>
      </c>
      <c r="C12" t="s">
        <v>353</v>
      </c>
      <c r="D12" t="s">
        <v>67</v>
      </c>
      <c r="E12" t="s">
        <v>354</v>
      </c>
      <c r="F12" t="s">
        <v>763</v>
      </c>
      <c r="G12" s="4">
        <v>25</v>
      </c>
      <c r="H12" s="3" t="s">
        <v>766</v>
      </c>
      <c r="I12" s="5">
        <v>45974.471562500003</v>
      </c>
      <c r="J12" s="5">
        <v>45974.471678240741</v>
      </c>
      <c r="K12" s="6">
        <v>1.1574075324460864E-4</v>
      </c>
    </row>
    <row r="13" spans="1:11" x14ac:dyDescent="0.3">
      <c r="A13" s="2">
        <v>585</v>
      </c>
      <c r="B13" t="s">
        <v>775</v>
      </c>
      <c r="C13" t="s">
        <v>353</v>
      </c>
      <c r="D13" t="s">
        <v>70</v>
      </c>
      <c r="E13" t="s">
        <v>354</v>
      </c>
      <c r="F13" t="s">
        <v>763</v>
      </c>
      <c r="G13" s="4">
        <v>25</v>
      </c>
      <c r="H13" s="3" t="s">
        <v>766</v>
      </c>
      <c r="I13" s="5">
        <v>45974.471805555557</v>
      </c>
      <c r="J13" s="5">
        <v>45974.471932870372</v>
      </c>
      <c r="K13" s="6">
        <v>1.1574075324460864E-4</v>
      </c>
    </row>
    <row r="14" spans="1:11" x14ac:dyDescent="0.3">
      <c r="A14" s="2">
        <v>586</v>
      </c>
      <c r="B14" t="s">
        <v>776</v>
      </c>
      <c r="C14" t="s">
        <v>353</v>
      </c>
      <c r="D14" t="s">
        <v>72</v>
      </c>
      <c r="E14" t="s">
        <v>354</v>
      </c>
      <c r="F14" t="s">
        <v>763</v>
      </c>
      <c r="G14" s="4">
        <v>25</v>
      </c>
      <c r="H14" s="3" t="s">
        <v>766</v>
      </c>
      <c r="I14" s="5">
        <v>45974.472060185188</v>
      </c>
      <c r="J14" s="5">
        <v>45974.472175925926</v>
      </c>
      <c r="K14" s="6">
        <v>1.1574075324460864E-4</v>
      </c>
    </row>
    <row r="15" spans="1:11" x14ac:dyDescent="0.3">
      <c r="A15" s="2">
        <v>587</v>
      </c>
      <c r="B15" t="s">
        <v>777</v>
      </c>
      <c r="C15" t="s">
        <v>353</v>
      </c>
      <c r="D15" t="s">
        <v>74</v>
      </c>
      <c r="E15" t="s">
        <v>354</v>
      </c>
      <c r="F15" t="s">
        <v>763</v>
      </c>
      <c r="G15" s="4">
        <v>25</v>
      </c>
      <c r="H15" s="3" t="s">
        <v>766</v>
      </c>
      <c r="I15" s="5">
        <v>45974.472314814811</v>
      </c>
      <c r="J15" s="5">
        <v>45974.472442129627</v>
      </c>
      <c r="K15" s="6">
        <v>1.1574075324460864E-4</v>
      </c>
    </row>
    <row r="16" spans="1:11" x14ac:dyDescent="0.3">
      <c r="A16" s="2">
        <v>588</v>
      </c>
      <c r="B16" t="s">
        <v>778</v>
      </c>
      <c r="C16" t="s">
        <v>353</v>
      </c>
      <c r="D16" t="s">
        <v>76</v>
      </c>
      <c r="E16" t="s">
        <v>354</v>
      </c>
      <c r="F16" t="s">
        <v>763</v>
      </c>
      <c r="G16" s="4">
        <v>25</v>
      </c>
      <c r="H16" s="3" t="s">
        <v>766</v>
      </c>
      <c r="I16" s="5">
        <v>45974.472569444442</v>
      </c>
      <c r="J16" s="5">
        <v>45974.472696759258</v>
      </c>
      <c r="K16" s="6">
        <v>1.1574075324460864E-4</v>
      </c>
    </row>
    <row r="17" spans="1:11" x14ac:dyDescent="0.3">
      <c r="A17" s="2">
        <v>589</v>
      </c>
      <c r="B17" t="s">
        <v>779</v>
      </c>
      <c r="C17" t="s">
        <v>353</v>
      </c>
      <c r="D17" t="s">
        <v>78</v>
      </c>
      <c r="E17" t="s">
        <v>354</v>
      </c>
      <c r="F17" t="s">
        <v>763</v>
      </c>
      <c r="G17" s="4">
        <v>25</v>
      </c>
      <c r="H17" s="3" t="s">
        <v>766</v>
      </c>
      <c r="I17" s="5">
        <v>45974.474976851852</v>
      </c>
      <c r="J17" s="5">
        <v>45974.475127314814</v>
      </c>
      <c r="K17" s="6">
        <v>1.6203703125938773E-4</v>
      </c>
    </row>
    <row r="18" spans="1:11" x14ac:dyDescent="0.3">
      <c r="A18" s="2">
        <v>590</v>
      </c>
      <c r="B18" t="s">
        <v>780</v>
      </c>
      <c r="C18" t="s">
        <v>353</v>
      </c>
      <c r="D18" t="s">
        <v>80</v>
      </c>
      <c r="E18" t="s">
        <v>354</v>
      </c>
      <c r="F18" t="s">
        <v>763</v>
      </c>
      <c r="G18" s="4">
        <v>25</v>
      </c>
      <c r="H18" s="3" t="s">
        <v>766</v>
      </c>
      <c r="I18" s="5">
        <v>45974.475231481483</v>
      </c>
      <c r="J18" s="5">
        <v>45974.475428240738</v>
      </c>
      <c r="K18" s="6">
        <v>1.9675926887430251E-4</v>
      </c>
    </row>
    <row r="19" spans="1:11" x14ac:dyDescent="0.3">
      <c r="A19" s="2">
        <v>591</v>
      </c>
      <c r="B19" t="s">
        <v>781</v>
      </c>
      <c r="C19" t="s">
        <v>353</v>
      </c>
      <c r="D19" t="s">
        <v>82</v>
      </c>
      <c r="E19" t="s">
        <v>354</v>
      </c>
      <c r="F19" t="s">
        <v>763</v>
      </c>
      <c r="G19" s="4">
        <v>25</v>
      </c>
      <c r="H19" s="3" t="s">
        <v>766</v>
      </c>
      <c r="I19" s="5">
        <v>45974.475532407407</v>
      </c>
      <c r="J19" s="5">
        <v>45974.475682870368</v>
      </c>
      <c r="K19" s="6">
        <v>1.6203703125938773E-4</v>
      </c>
    </row>
    <row r="20" spans="1:11" x14ac:dyDescent="0.3">
      <c r="A20" s="2">
        <v>592</v>
      </c>
      <c r="B20" t="s">
        <v>782</v>
      </c>
      <c r="C20" t="s">
        <v>353</v>
      </c>
      <c r="D20" t="s">
        <v>84</v>
      </c>
      <c r="E20" t="s">
        <v>354</v>
      </c>
      <c r="F20" t="s">
        <v>763</v>
      </c>
      <c r="G20" s="4">
        <v>25</v>
      </c>
      <c r="H20" s="3" t="s">
        <v>766</v>
      </c>
      <c r="I20" s="5">
        <v>45974.475798611114</v>
      </c>
      <c r="J20" s="5">
        <v>45974.475960648146</v>
      </c>
      <c r="K20" s="6">
        <v>1.6203703125938773E-4</v>
      </c>
    </row>
    <row r="21" spans="1:11" x14ac:dyDescent="0.3">
      <c r="A21" s="2">
        <v>593</v>
      </c>
      <c r="B21" t="s">
        <v>783</v>
      </c>
      <c r="C21" t="s">
        <v>353</v>
      </c>
      <c r="D21" t="s">
        <v>86</v>
      </c>
      <c r="E21" t="s">
        <v>354</v>
      </c>
      <c r="F21" t="s">
        <v>763</v>
      </c>
      <c r="G21" s="4">
        <v>25</v>
      </c>
      <c r="H21" s="3" t="s">
        <v>766</v>
      </c>
      <c r="I21" s="5">
        <v>45974.476064814815</v>
      </c>
      <c r="J21" s="5">
        <v>45974.47619212963</v>
      </c>
      <c r="K21" s="6">
        <v>1.1574075324460864E-4</v>
      </c>
    </row>
    <row r="22" spans="1:11" x14ac:dyDescent="0.3">
      <c r="A22" s="2">
        <v>594</v>
      </c>
      <c r="B22" t="s">
        <v>784</v>
      </c>
      <c r="C22" t="s">
        <v>353</v>
      </c>
      <c r="D22" t="s">
        <v>88</v>
      </c>
      <c r="E22" t="s">
        <v>354</v>
      </c>
      <c r="F22" t="s">
        <v>763</v>
      </c>
      <c r="G22" s="4">
        <v>25</v>
      </c>
      <c r="H22" s="3" t="s">
        <v>766</v>
      </c>
      <c r="I22" s="5">
        <v>45974.476342592592</v>
      </c>
      <c r="J22" s="5">
        <v>45974.476458333331</v>
      </c>
      <c r="K22" s="6">
        <v>1.1574075324460864E-4</v>
      </c>
    </row>
    <row r="23" spans="1:11" x14ac:dyDescent="0.3">
      <c r="A23" s="2">
        <v>595</v>
      </c>
      <c r="B23" t="s">
        <v>785</v>
      </c>
      <c r="C23" t="s">
        <v>353</v>
      </c>
      <c r="D23" t="s">
        <v>90</v>
      </c>
      <c r="E23" t="s">
        <v>354</v>
      </c>
      <c r="F23" t="s">
        <v>763</v>
      </c>
      <c r="G23" s="4">
        <v>25</v>
      </c>
      <c r="H23" s="3" t="s">
        <v>766</v>
      </c>
      <c r="I23" s="5">
        <v>45974.476574074077</v>
      </c>
      <c r="J23" s="5">
        <v>45974.476689814815</v>
      </c>
      <c r="K23" s="6">
        <v>1.1574075324460864E-4</v>
      </c>
    </row>
    <row r="24" spans="1:11" x14ac:dyDescent="0.3">
      <c r="A24" s="2">
        <v>596</v>
      </c>
      <c r="B24" t="s">
        <v>786</v>
      </c>
      <c r="C24" t="s">
        <v>353</v>
      </c>
      <c r="D24" t="s">
        <v>92</v>
      </c>
      <c r="E24" t="s">
        <v>354</v>
      </c>
      <c r="F24" t="s">
        <v>763</v>
      </c>
      <c r="G24" s="4">
        <v>25</v>
      </c>
      <c r="H24" s="3" t="s">
        <v>766</v>
      </c>
      <c r="I24" s="5">
        <v>45974.476817129631</v>
      </c>
      <c r="J24" s="5">
        <v>45974.476967592593</v>
      </c>
      <c r="K24" s="6">
        <v>1.6203703125938773E-4</v>
      </c>
    </row>
    <row r="25" spans="1:11" x14ac:dyDescent="0.3">
      <c r="A25" s="2">
        <v>597</v>
      </c>
      <c r="B25" t="s">
        <v>787</v>
      </c>
      <c r="C25" t="s">
        <v>353</v>
      </c>
      <c r="D25" t="s">
        <v>94</v>
      </c>
      <c r="E25" t="s">
        <v>354</v>
      </c>
      <c r="F25" t="s">
        <v>763</v>
      </c>
      <c r="G25" s="4">
        <v>25</v>
      </c>
      <c r="H25" s="3" t="s">
        <v>766</v>
      </c>
      <c r="I25" s="5">
        <v>45974.477083333331</v>
      </c>
      <c r="J25" s="5">
        <v>45974.477199074077</v>
      </c>
      <c r="K25" s="6">
        <v>1.1574075324460864E-4</v>
      </c>
    </row>
    <row r="26" spans="1:11" x14ac:dyDescent="0.3">
      <c r="A26" s="2">
        <v>598</v>
      </c>
      <c r="B26" t="s">
        <v>788</v>
      </c>
      <c r="C26" t="s">
        <v>353</v>
      </c>
      <c r="D26" t="s">
        <v>96</v>
      </c>
      <c r="E26" t="s">
        <v>354</v>
      </c>
      <c r="F26" t="s">
        <v>763</v>
      </c>
      <c r="G26" s="4">
        <v>25</v>
      </c>
      <c r="H26" s="3" t="s">
        <v>766</v>
      </c>
      <c r="I26" s="5">
        <v>45974.477314814816</v>
      </c>
      <c r="J26" s="5">
        <v>45974.477430555555</v>
      </c>
      <c r="K26" s="6">
        <v>1.1574075324460864E-4</v>
      </c>
    </row>
    <row r="27" spans="1:11" x14ac:dyDescent="0.3">
      <c r="A27" s="2">
        <v>599</v>
      </c>
      <c r="B27" t="s">
        <v>789</v>
      </c>
      <c r="C27" t="s">
        <v>353</v>
      </c>
      <c r="D27" t="s">
        <v>98</v>
      </c>
      <c r="E27" t="s">
        <v>354</v>
      </c>
      <c r="F27" t="s">
        <v>763</v>
      </c>
      <c r="G27" s="4">
        <v>25</v>
      </c>
      <c r="H27" s="3" t="s">
        <v>766</v>
      </c>
      <c r="I27" s="5">
        <v>45974.477546296293</v>
      </c>
      <c r="J27" s="5">
        <v>45974.477777777778</v>
      </c>
      <c r="K27" s="6">
        <v>2.3148147738538682E-4</v>
      </c>
    </row>
    <row r="28" spans="1:11" x14ac:dyDescent="0.3">
      <c r="A28" s="2">
        <v>600</v>
      </c>
      <c r="B28" t="s">
        <v>790</v>
      </c>
      <c r="C28" t="s">
        <v>353</v>
      </c>
      <c r="D28" t="s">
        <v>100</v>
      </c>
      <c r="E28" t="s">
        <v>354</v>
      </c>
      <c r="F28" t="s">
        <v>763</v>
      </c>
      <c r="G28" s="4">
        <v>25</v>
      </c>
      <c r="H28" s="3" t="s">
        <v>766</v>
      </c>
      <c r="I28" s="5">
        <v>45974.477905092594</v>
      </c>
      <c r="J28" s="5">
        <v>45974.478113425925</v>
      </c>
      <c r="K28" s="6">
        <v>1.9675926887430251E-4</v>
      </c>
    </row>
    <row r="29" spans="1:11" x14ac:dyDescent="0.3">
      <c r="A29" s="2">
        <v>601</v>
      </c>
      <c r="B29" t="s">
        <v>791</v>
      </c>
      <c r="C29" t="s">
        <v>353</v>
      </c>
      <c r="D29" t="s">
        <v>102</v>
      </c>
      <c r="E29" t="s">
        <v>354</v>
      </c>
      <c r="F29" t="s">
        <v>763</v>
      </c>
      <c r="G29" s="4">
        <v>25</v>
      </c>
      <c r="H29" s="3" t="s">
        <v>766</v>
      </c>
      <c r="I29" s="5">
        <v>45974.478229166663</v>
      </c>
      <c r="J29" s="5">
        <v>45974.478425925925</v>
      </c>
      <c r="K29" s="6">
        <v>1.9675926887430251E-4</v>
      </c>
    </row>
    <row r="30" spans="1:11" x14ac:dyDescent="0.3">
      <c r="A30" s="2">
        <v>602</v>
      </c>
      <c r="B30" t="s">
        <v>792</v>
      </c>
      <c r="C30" t="s">
        <v>353</v>
      </c>
      <c r="D30" t="s">
        <v>104</v>
      </c>
      <c r="E30" t="s">
        <v>354</v>
      </c>
      <c r="F30" t="s">
        <v>763</v>
      </c>
      <c r="G30" s="4">
        <v>25</v>
      </c>
      <c r="H30" s="3" t="s">
        <v>766</v>
      </c>
      <c r="I30" s="5">
        <v>45974.478564814817</v>
      </c>
      <c r="J30" s="5">
        <v>45974.478726851848</v>
      </c>
      <c r="K30" s="6">
        <v>1.6203703125938773E-4</v>
      </c>
    </row>
    <row r="31" spans="1:11" x14ac:dyDescent="0.3">
      <c r="A31" s="2">
        <v>603</v>
      </c>
      <c r="B31" t="s">
        <v>793</v>
      </c>
      <c r="C31" t="s">
        <v>353</v>
      </c>
      <c r="D31" t="s">
        <v>106</v>
      </c>
      <c r="E31" t="s">
        <v>354</v>
      </c>
      <c r="F31" t="s">
        <v>763</v>
      </c>
      <c r="G31" s="4">
        <v>25</v>
      </c>
      <c r="H31" s="3" t="s">
        <v>766</v>
      </c>
      <c r="I31" s="5">
        <v>45974.478854166664</v>
      </c>
      <c r="J31" s="5">
        <v>45974.479050925926</v>
      </c>
      <c r="K31" s="6">
        <v>1.9675926887430251E-4</v>
      </c>
    </row>
    <row r="32" spans="1:11" x14ac:dyDescent="0.3">
      <c r="A32" s="2">
        <v>604</v>
      </c>
      <c r="B32" t="s">
        <v>794</v>
      </c>
      <c r="C32" t="s">
        <v>353</v>
      </c>
      <c r="D32" t="s">
        <v>108</v>
      </c>
      <c r="E32" t="s">
        <v>354</v>
      </c>
      <c r="F32" t="s">
        <v>763</v>
      </c>
      <c r="G32" s="4">
        <v>25</v>
      </c>
      <c r="H32" s="3" t="s">
        <v>766</v>
      </c>
      <c r="I32" s="5">
        <v>45974.479178240741</v>
      </c>
      <c r="J32" s="5">
        <v>45974.479305555556</v>
      </c>
      <c r="K32" s="6">
        <v>1.2731482274830341E-4</v>
      </c>
    </row>
    <row r="33" spans="1:11" x14ac:dyDescent="0.3">
      <c r="A33" s="2">
        <v>605</v>
      </c>
      <c r="B33" t="s">
        <v>795</v>
      </c>
      <c r="C33" t="s">
        <v>353</v>
      </c>
      <c r="D33" t="s">
        <v>466</v>
      </c>
      <c r="E33" t="s">
        <v>354</v>
      </c>
      <c r="F33" t="s">
        <v>763</v>
      </c>
      <c r="G33" s="4">
        <v>25</v>
      </c>
      <c r="H33" s="3" t="s">
        <v>766</v>
      </c>
      <c r="I33" s="5">
        <v>45974.564710648148</v>
      </c>
      <c r="J33" s="5">
        <v>45974.56490740741</v>
      </c>
      <c r="K33" s="6">
        <v>1.9675926887430251E-4</v>
      </c>
    </row>
    <row r="34" spans="1:11" x14ac:dyDescent="0.3">
      <c r="A34" s="2">
        <v>606</v>
      </c>
      <c r="B34" t="s">
        <v>796</v>
      </c>
      <c r="C34" t="s">
        <v>353</v>
      </c>
      <c r="D34" t="s">
        <v>466</v>
      </c>
      <c r="E34" t="s">
        <v>358</v>
      </c>
      <c r="F34" t="s">
        <v>763</v>
      </c>
      <c r="G34" s="4">
        <v>25</v>
      </c>
      <c r="H34" s="3" t="s">
        <v>766</v>
      </c>
      <c r="I34" s="5">
        <v>45974.566122685188</v>
      </c>
      <c r="J34" s="5">
        <v>45974.566250000003</v>
      </c>
      <c r="K34" s="6">
        <v>1.2731482274830341E-4</v>
      </c>
    </row>
    <row r="35" spans="1:11" x14ac:dyDescent="0.3">
      <c r="A35" s="2">
        <v>607</v>
      </c>
      <c r="B35" t="s">
        <v>797</v>
      </c>
      <c r="C35" t="s">
        <v>353</v>
      </c>
      <c r="D35" t="s">
        <v>56</v>
      </c>
      <c r="E35" t="s">
        <v>358</v>
      </c>
      <c r="F35" t="s">
        <v>763</v>
      </c>
      <c r="G35" s="4">
        <v>25</v>
      </c>
      <c r="H35" s="3" t="s">
        <v>766</v>
      </c>
      <c r="I35" s="5">
        <v>45974.566620370373</v>
      </c>
      <c r="J35" s="5">
        <v>45974.566932870373</v>
      </c>
      <c r="K35" s="6">
        <v>3.1249999301508069E-4</v>
      </c>
    </row>
    <row r="36" spans="1:11" x14ac:dyDescent="0.3">
      <c r="A36" s="2">
        <v>608</v>
      </c>
      <c r="B36" t="s">
        <v>798</v>
      </c>
      <c r="C36" t="s">
        <v>353</v>
      </c>
      <c r="D36" t="s">
        <v>58</v>
      </c>
      <c r="E36" t="s">
        <v>358</v>
      </c>
      <c r="F36" t="s">
        <v>763</v>
      </c>
      <c r="G36" s="4">
        <v>25</v>
      </c>
      <c r="H36" s="3" t="s">
        <v>766</v>
      </c>
      <c r="I36" s="5">
        <v>45974.567037037035</v>
      </c>
      <c r="J36" s="5">
        <v>45974.567164351851</v>
      </c>
      <c r="K36" s="6">
        <v>1.1574075324460864E-4</v>
      </c>
    </row>
    <row r="37" spans="1:11" x14ac:dyDescent="0.3">
      <c r="A37" s="2">
        <v>609</v>
      </c>
      <c r="B37" t="s">
        <v>799</v>
      </c>
      <c r="C37" t="s">
        <v>353</v>
      </c>
      <c r="D37" t="s">
        <v>61</v>
      </c>
      <c r="E37" t="s">
        <v>358</v>
      </c>
      <c r="F37" t="s">
        <v>763</v>
      </c>
      <c r="G37" s="4">
        <v>25</v>
      </c>
      <c r="H37" s="3" t="s">
        <v>766</v>
      </c>
      <c r="I37" s="5">
        <v>45974.56726851852</v>
      </c>
      <c r="J37" s="5">
        <v>45974.567395833335</v>
      </c>
      <c r="K37" s="6">
        <v>1.1574075324460864E-4</v>
      </c>
    </row>
    <row r="38" spans="1:11" x14ac:dyDescent="0.3">
      <c r="A38" s="2">
        <v>610</v>
      </c>
      <c r="B38" t="s">
        <v>800</v>
      </c>
      <c r="C38" t="s">
        <v>353</v>
      </c>
      <c r="D38" t="s">
        <v>63</v>
      </c>
      <c r="E38" t="s">
        <v>358</v>
      </c>
      <c r="F38" t="s">
        <v>763</v>
      </c>
      <c r="G38" s="4">
        <v>25</v>
      </c>
      <c r="H38" s="3" t="s">
        <v>766</v>
      </c>
      <c r="I38" s="5">
        <v>45974.567546296297</v>
      </c>
      <c r="J38" s="5">
        <v>45974.567662037036</v>
      </c>
      <c r="K38" s="6">
        <v>1.2731482274830341E-4</v>
      </c>
    </row>
    <row r="39" spans="1:11" x14ac:dyDescent="0.3">
      <c r="A39" s="2">
        <v>611</v>
      </c>
      <c r="B39" t="s">
        <v>801</v>
      </c>
      <c r="C39" t="s">
        <v>353</v>
      </c>
      <c r="D39" t="s">
        <v>65</v>
      </c>
      <c r="E39" t="s">
        <v>358</v>
      </c>
      <c r="F39" t="s">
        <v>763</v>
      </c>
      <c r="G39" s="4">
        <v>25</v>
      </c>
      <c r="H39" s="3" t="s">
        <v>766</v>
      </c>
      <c r="I39" s="5">
        <v>45974.567789351851</v>
      </c>
      <c r="J39" s="5">
        <v>45974.56790509259</v>
      </c>
      <c r="K39" s="6">
        <v>1.1574075324460864E-4</v>
      </c>
    </row>
    <row r="40" spans="1:11" x14ac:dyDescent="0.3">
      <c r="A40" s="2">
        <v>612</v>
      </c>
      <c r="B40" t="s">
        <v>802</v>
      </c>
      <c r="C40" t="s">
        <v>353</v>
      </c>
      <c r="D40" t="s">
        <v>67</v>
      </c>
      <c r="E40" t="s">
        <v>358</v>
      </c>
      <c r="F40" t="s">
        <v>763</v>
      </c>
      <c r="G40" s="4">
        <v>25</v>
      </c>
      <c r="H40" s="3" t="s">
        <v>766</v>
      </c>
      <c r="I40" s="5">
        <v>45974.568055555559</v>
      </c>
      <c r="J40" s="5">
        <v>45974.568171296298</v>
      </c>
      <c r="K40" s="6">
        <v>1.1574075324460864E-4</v>
      </c>
    </row>
    <row r="41" spans="1:11" x14ac:dyDescent="0.3">
      <c r="A41" s="2">
        <v>613</v>
      </c>
      <c r="B41" t="s">
        <v>803</v>
      </c>
      <c r="C41" t="s">
        <v>353</v>
      </c>
      <c r="D41" t="s">
        <v>70</v>
      </c>
      <c r="E41" t="s">
        <v>358</v>
      </c>
      <c r="F41" t="s">
        <v>763</v>
      </c>
      <c r="G41" s="4">
        <v>25</v>
      </c>
      <c r="H41" s="3" t="s">
        <v>766</v>
      </c>
      <c r="I41" s="5">
        <v>45974.568298611113</v>
      </c>
      <c r="J41" s="5">
        <v>45974.568414351852</v>
      </c>
      <c r="K41" s="6">
        <v>1.1574075324460864E-4</v>
      </c>
    </row>
    <row r="42" spans="1:11" x14ac:dyDescent="0.3">
      <c r="A42" s="2">
        <v>614</v>
      </c>
      <c r="B42" t="s">
        <v>804</v>
      </c>
      <c r="C42" t="s">
        <v>353</v>
      </c>
      <c r="D42" t="s">
        <v>72</v>
      </c>
      <c r="E42" t="s">
        <v>358</v>
      </c>
      <c r="F42" t="s">
        <v>763</v>
      </c>
      <c r="G42" s="4">
        <v>25</v>
      </c>
      <c r="H42" s="3" t="s">
        <v>766</v>
      </c>
      <c r="I42" s="5">
        <v>45974.568541666667</v>
      </c>
      <c r="J42" s="5">
        <v>45974.568657407406</v>
      </c>
      <c r="K42" s="6">
        <v>1.1574075324460864E-4</v>
      </c>
    </row>
    <row r="43" spans="1:11" x14ac:dyDescent="0.3">
      <c r="A43" s="2">
        <v>615</v>
      </c>
      <c r="B43" t="s">
        <v>805</v>
      </c>
      <c r="C43" t="s">
        <v>353</v>
      </c>
      <c r="D43" t="s">
        <v>74</v>
      </c>
      <c r="E43" t="s">
        <v>358</v>
      </c>
      <c r="F43" t="s">
        <v>763</v>
      </c>
      <c r="G43" s="4">
        <v>25</v>
      </c>
      <c r="H43" s="3" t="s">
        <v>766</v>
      </c>
      <c r="I43" s="5">
        <v>45974.568784722222</v>
      </c>
      <c r="J43" s="5">
        <v>45974.56890046296</v>
      </c>
      <c r="K43" s="6">
        <v>1.1574075324460864E-4</v>
      </c>
    </row>
    <row r="44" spans="1:11" x14ac:dyDescent="0.3">
      <c r="A44" s="2">
        <v>616</v>
      </c>
      <c r="B44" t="s">
        <v>806</v>
      </c>
      <c r="C44" t="s">
        <v>353</v>
      </c>
      <c r="D44" t="s">
        <v>76</v>
      </c>
      <c r="E44" t="s">
        <v>358</v>
      </c>
      <c r="F44" t="s">
        <v>763</v>
      </c>
      <c r="G44" s="4">
        <v>25</v>
      </c>
      <c r="H44" s="3" t="s">
        <v>766</v>
      </c>
      <c r="I44" s="5">
        <v>45974.569016203706</v>
      </c>
      <c r="J44" s="5">
        <v>45974.569143518522</v>
      </c>
      <c r="K44" s="6">
        <v>1.2731482274830341E-4</v>
      </c>
    </row>
    <row r="45" spans="1:11" x14ac:dyDescent="0.3">
      <c r="A45" s="2">
        <v>617</v>
      </c>
      <c r="B45" t="s">
        <v>807</v>
      </c>
      <c r="C45" t="s">
        <v>353</v>
      </c>
      <c r="D45" t="s">
        <v>78</v>
      </c>
      <c r="E45" t="s">
        <v>358</v>
      </c>
      <c r="F45" t="s">
        <v>763</v>
      </c>
      <c r="G45" s="4">
        <v>25</v>
      </c>
      <c r="H45" s="3" t="s">
        <v>766</v>
      </c>
      <c r="I45" s="5">
        <v>45974.572071759256</v>
      </c>
      <c r="J45" s="5">
        <v>45974.572187500002</v>
      </c>
      <c r="K45" s="6">
        <v>1.1574075324460864E-4</v>
      </c>
    </row>
    <row r="46" spans="1:11" x14ac:dyDescent="0.3">
      <c r="A46" s="2">
        <v>618</v>
      </c>
      <c r="B46" t="s">
        <v>808</v>
      </c>
      <c r="C46" t="s">
        <v>353</v>
      </c>
      <c r="D46" t="s">
        <v>80</v>
      </c>
      <c r="E46" t="s">
        <v>358</v>
      </c>
      <c r="F46" t="s">
        <v>763</v>
      </c>
      <c r="G46" s="4">
        <v>25</v>
      </c>
      <c r="H46" s="3" t="s">
        <v>766</v>
      </c>
      <c r="I46" s="5">
        <v>45974.572326388887</v>
      </c>
      <c r="J46" s="5">
        <v>45974.572488425925</v>
      </c>
      <c r="K46" s="6">
        <v>1.6203703125938773E-4</v>
      </c>
    </row>
    <row r="47" spans="1:11" x14ac:dyDescent="0.3">
      <c r="A47" s="2">
        <v>619</v>
      </c>
      <c r="B47" t="s">
        <v>809</v>
      </c>
      <c r="C47" t="s">
        <v>353</v>
      </c>
      <c r="D47" t="s">
        <v>82</v>
      </c>
      <c r="E47" t="s">
        <v>358</v>
      </c>
      <c r="F47" t="s">
        <v>763</v>
      </c>
      <c r="G47" s="4">
        <v>25</v>
      </c>
      <c r="H47" s="3" t="s">
        <v>766</v>
      </c>
      <c r="I47" s="5">
        <v>45974.572581018518</v>
      </c>
      <c r="J47" s="5">
        <v>45974.572696759256</v>
      </c>
      <c r="K47" s="6">
        <v>1.1574075324460864E-4</v>
      </c>
    </row>
    <row r="48" spans="1:11" x14ac:dyDescent="0.3">
      <c r="A48" s="2">
        <v>620</v>
      </c>
      <c r="B48" t="s">
        <v>810</v>
      </c>
      <c r="C48" t="s">
        <v>353</v>
      </c>
      <c r="D48" t="s">
        <v>84</v>
      </c>
      <c r="E48" t="s">
        <v>358</v>
      </c>
      <c r="F48" t="s">
        <v>763</v>
      </c>
      <c r="G48" s="4">
        <v>25</v>
      </c>
      <c r="H48" s="3" t="s">
        <v>766</v>
      </c>
      <c r="I48" s="5">
        <v>45974.572800925926</v>
      </c>
      <c r="J48" s="5">
        <v>45974.572928240741</v>
      </c>
      <c r="K48" s="6">
        <v>1.1574075324460864E-4</v>
      </c>
    </row>
    <row r="49" spans="1:11" x14ac:dyDescent="0.3">
      <c r="A49" s="2">
        <v>621</v>
      </c>
      <c r="B49" t="s">
        <v>811</v>
      </c>
      <c r="C49" t="s">
        <v>353</v>
      </c>
      <c r="D49" t="s">
        <v>86</v>
      </c>
      <c r="E49" t="s">
        <v>358</v>
      </c>
      <c r="F49" t="s">
        <v>763</v>
      </c>
      <c r="G49" s="4">
        <v>25</v>
      </c>
      <c r="H49" s="3" t="s">
        <v>766</v>
      </c>
      <c r="I49" s="5">
        <v>45974.573055555556</v>
      </c>
      <c r="J49" s="5">
        <v>45974.573171296295</v>
      </c>
      <c r="K49" s="6">
        <v>1.1574075324460864E-4</v>
      </c>
    </row>
    <row r="50" spans="1:11" x14ac:dyDescent="0.3">
      <c r="A50" s="2">
        <v>622</v>
      </c>
      <c r="B50" t="s">
        <v>812</v>
      </c>
      <c r="C50" t="s">
        <v>353</v>
      </c>
      <c r="D50" t="s">
        <v>88</v>
      </c>
      <c r="E50" t="s">
        <v>358</v>
      </c>
      <c r="F50" t="s">
        <v>763</v>
      </c>
      <c r="G50" s="4">
        <v>25</v>
      </c>
      <c r="H50" s="3" t="s">
        <v>766</v>
      </c>
      <c r="I50" s="5">
        <v>45974.573310185187</v>
      </c>
      <c r="J50" s="5">
        <v>45974.573425925926</v>
      </c>
      <c r="K50" s="6">
        <v>1.1574075324460864E-4</v>
      </c>
    </row>
    <row r="51" spans="1:11" x14ac:dyDescent="0.3">
      <c r="A51" s="2">
        <v>623</v>
      </c>
      <c r="B51" t="s">
        <v>813</v>
      </c>
      <c r="C51" t="s">
        <v>353</v>
      </c>
      <c r="D51" t="s">
        <v>90</v>
      </c>
      <c r="E51" t="s">
        <v>358</v>
      </c>
      <c r="F51" t="s">
        <v>763</v>
      </c>
      <c r="G51" s="4">
        <v>25</v>
      </c>
      <c r="H51" s="3" t="s">
        <v>766</v>
      </c>
      <c r="I51" s="5">
        <v>45974.573576388888</v>
      </c>
      <c r="J51" s="5">
        <v>45974.573692129627</v>
      </c>
      <c r="K51" s="6">
        <v>1.2731482274830341E-4</v>
      </c>
    </row>
    <row r="52" spans="1:11" x14ac:dyDescent="0.3">
      <c r="A52" s="2">
        <v>624</v>
      </c>
      <c r="B52" t="s">
        <v>814</v>
      </c>
      <c r="C52" t="s">
        <v>353</v>
      </c>
      <c r="D52" t="s">
        <v>92</v>
      </c>
      <c r="E52" t="s">
        <v>358</v>
      </c>
      <c r="F52" t="s">
        <v>763</v>
      </c>
      <c r="G52" s="4">
        <v>25</v>
      </c>
      <c r="H52" s="3" t="s">
        <v>766</v>
      </c>
      <c r="I52" s="5">
        <v>45974.573819444442</v>
      </c>
      <c r="J52" s="5">
        <v>45974.573946759258</v>
      </c>
      <c r="K52" s="6">
        <v>1.1574075324460864E-4</v>
      </c>
    </row>
    <row r="53" spans="1:11" x14ac:dyDescent="0.3">
      <c r="A53" s="2">
        <v>625</v>
      </c>
      <c r="B53" t="s">
        <v>815</v>
      </c>
      <c r="C53" t="s">
        <v>353</v>
      </c>
      <c r="D53" t="s">
        <v>94</v>
      </c>
      <c r="E53" t="s">
        <v>358</v>
      </c>
      <c r="F53" t="s">
        <v>763</v>
      </c>
      <c r="G53" s="4">
        <v>25</v>
      </c>
      <c r="H53" s="3" t="s">
        <v>766</v>
      </c>
      <c r="I53" s="5">
        <v>45974.574062500003</v>
      </c>
      <c r="J53" s="5">
        <v>45974.574178240742</v>
      </c>
      <c r="K53" s="6">
        <v>1.1574075324460864E-4</v>
      </c>
    </row>
    <row r="54" spans="1:11" x14ac:dyDescent="0.3">
      <c r="A54" s="2">
        <v>626</v>
      </c>
      <c r="B54" t="s">
        <v>816</v>
      </c>
      <c r="C54" t="s">
        <v>353</v>
      </c>
      <c r="D54" t="s">
        <v>96</v>
      </c>
      <c r="E54" t="s">
        <v>358</v>
      </c>
      <c r="F54" t="s">
        <v>763</v>
      </c>
      <c r="G54" s="4">
        <v>25</v>
      </c>
      <c r="H54" s="3" t="s">
        <v>766</v>
      </c>
      <c r="I54" s="5">
        <v>45974.574293981481</v>
      </c>
      <c r="J54" s="5">
        <v>45974.574421296296</v>
      </c>
      <c r="K54" s="6">
        <v>1.1574075324460864E-4</v>
      </c>
    </row>
    <row r="55" spans="1:11" x14ac:dyDescent="0.3">
      <c r="A55" s="2">
        <v>627</v>
      </c>
      <c r="B55" t="s">
        <v>817</v>
      </c>
      <c r="C55" t="s">
        <v>353</v>
      </c>
      <c r="D55" t="s">
        <v>98</v>
      </c>
      <c r="E55" t="s">
        <v>358</v>
      </c>
      <c r="F55" t="s">
        <v>763</v>
      </c>
      <c r="G55" s="4">
        <v>25</v>
      </c>
      <c r="H55" s="3" t="s">
        <v>766</v>
      </c>
      <c r="I55" s="5">
        <v>45974.574583333335</v>
      </c>
      <c r="J55" s="5">
        <v>45974.574699074074</v>
      </c>
      <c r="K55" s="6">
        <v>1.2731482274830341E-4</v>
      </c>
    </row>
    <row r="56" spans="1:11" x14ac:dyDescent="0.3">
      <c r="A56" s="2">
        <v>628</v>
      </c>
      <c r="B56" t="s">
        <v>818</v>
      </c>
      <c r="C56" t="s">
        <v>353</v>
      </c>
      <c r="D56" t="s">
        <v>100</v>
      </c>
      <c r="E56" t="s">
        <v>358</v>
      </c>
      <c r="F56" t="s">
        <v>763</v>
      </c>
      <c r="G56" s="4">
        <v>25</v>
      </c>
      <c r="H56" s="3" t="s">
        <v>766</v>
      </c>
      <c r="I56" s="5">
        <v>45974.574849537035</v>
      </c>
      <c r="J56" s="5">
        <v>45974.574965277781</v>
      </c>
      <c r="K56" s="6">
        <v>1.1574075324460864E-4</v>
      </c>
    </row>
    <row r="57" spans="1:11" x14ac:dyDescent="0.3">
      <c r="A57" s="2">
        <v>629</v>
      </c>
      <c r="B57" t="s">
        <v>819</v>
      </c>
      <c r="C57" t="s">
        <v>353</v>
      </c>
      <c r="D57" t="s">
        <v>102</v>
      </c>
      <c r="E57" t="s">
        <v>358</v>
      </c>
      <c r="F57" t="s">
        <v>763</v>
      </c>
      <c r="G57" s="4">
        <v>25</v>
      </c>
      <c r="H57" s="3" t="s">
        <v>766</v>
      </c>
      <c r="I57" s="5">
        <v>45974.575092592589</v>
      </c>
      <c r="J57" s="5">
        <v>45974.575219907405</v>
      </c>
      <c r="K57" s="6">
        <v>1.2731482274830341E-4</v>
      </c>
    </row>
    <row r="58" spans="1:11" x14ac:dyDescent="0.3">
      <c r="A58" s="2">
        <v>630</v>
      </c>
      <c r="B58" t="s">
        <v>820</v>
      </c>
      <c r="C58" t="s">
        <v>353</v>
      </c>
      <c r="D58" t="s">
        <v>104</v>
      </c>
      <c r="E58" t="s">
        <v>358</v>
      </c>
      <c r="F58" t="s">
        <v>763</v>
      </c>
      <c r="G58" s="4">
        <v>25</v>
      </c>
      <c r="H58" s="3" t="s">
        <v>766</v>
      </c>
      <c r="I58" s="5">
        <v>45974.575335648151</v>
      </c>
      <c r="J58" s="5">
        <v>45974.57545138889</v>
      </c>
      <c r="K58" s="6">
        <v>1.1574075324460864E-4</v>
      </c>
    </row>
    <row r="59" spans="1:11" x14ac:dyDescent="0.3">
      <c r="A59" s="2">
        <v>631</v>
      </c>
      <c r="B59" t="s">
        <v>821</v>
      </c>
      <c r="C59" t="s">
        <v>353</v>
      </c>
      <c r="D59" t="s">
        <v>106</v>
      </c>
      <c r="E59" t="s">
        <v>358</v>
      </c>
      <c r="F59" t="s">
        <v>763</v>
      </c>
      <c r="G59" s="4">
        <v>25</v>
      </c>
      <c r="H59" s="3" t="s">
        <v>766</v>
      </c>
      <c r="I59" s="5">
        <v>45974.575578703705</v>
      </c>
      <c r="J59" s="5">
        <v>45974.575694444444</v>
      </c>
      <c r="K59" s="6">
        <v>1.1574075324460864E-4</v>
      </c>
    </row>
    <row r="60" spans="1:11" x14ac:dyDescent="0.3">
      <c r="A60" s="2">
        <v>632</v>
      </c>
      <c r="B60" t="s">
        <v>822</v>
      </c>
      <c r="C60" t="s">
        <v>353</v>
      </c>
      <c r="D60" t="s">
        <v>108</v>
      </c>
      <c r="E60" t="s">
        <v>358</v>
      </c>
      <c r="F60" t="s">
        <v>763</v>
      </c>
      <c r="G60" s="4">
        <v>25</v>
      </c>
      <c r="H60" s="3" t="s">
        <v>766</v>
      </c>
      <c r="I60" s="5">
        <v>45974.575810185182</v>
      </c>
      <c r="J60" s="5">
        <v>45974.575937499998</v>
      </c>
      <c r="K60" s="6">
        <v>1.2731482274830341E-4</v>
      </c>
    </row>
    <row r="61" spans="1:11" x14ac:dyDescent="0.3">
      <c r="A61" s="2">
        <v>633</v>
      </c>
      <c r="B61" t="s">
        <v>823</v>
      </c>
      <c r="C61" t="s">
        <v>362</v>
      </c>
      <c r="D61" t="s">
        <v>466</v>
      </c>
      <c r="E61" t="s">
        <v>363</v>
      </c>
      <c r="F61" t="s">
        <v>763</v>
      </c>
      <c r="G61" s="4">
        <v>25</v>
      </c>
      <c r="H61" s="3" t="s">
        <v>766</v>
      </c>
      <c r="I61" s="5">
        <v>45974.648125</v>
      </c>
      <c r="J61" s="5">
        <v>45974.6484375</v>
      </c>
      <c r="K61" s="6">
        <v>3.1249999301508069E-4</v>
      </c>
    </row>
    <row r="62" spans="1:11" x14ac:dyDescent="0.3">
      <c r="A62" s="2">
        <v>634</v>
      </c>
      <c r="B62" t="s">
        <v>824</v>
      </c>
      <c r="C62" t="s">
        <v>362</v>
      </c>
      <c r="D62" t="s">
        <v>466</v>
      </c>
      <c r="E62" t="s">
        <v>825</v>
      </c>
      <c r="F62" t="s">
        <v>763</v>
      </c>
      <c r="G62" s="4">
        <v>25</v>
      </c>
      <c r="H62" s="3" t="s">
        <v>766</v>
      </c>
      <c r="I62" s="5">
        <v>45974.648784722223</v>
      </c>
      <c r="J62" s="5">
        <v>45974.649016203701</v>
      </c>
      <c r="K62" s="6">
        <v>2.3148147738538682E-4</v>
      </c>
    </row>
    <row r="63" spans="1:11" x14ac:dyDescent="0.3">
      <c r="A63" s="2">
        <v>635</v>
      </c>
      <c r="B63" t="s">
        <v>826</v>
      </c>
      <c r="C63" t="s">
        <v>362</v>
      </c>
      <c r="D63" t="s">
        <v>56</v>
      </c>
      <c r="E63" t="s">
        <v>363</v>
      </c>
      <c r="F63" t="s">
        <v>763</v>
      </c>
      <c r="G63" s="4">
        <v>25</v>
      </c>
      <c r="H63" s="3" t="s">
        <v>766</v>
      </c>
      <c r="I63" s="5">
        <v>45974.654849537037</v>
      </c>
      <c r="J63" s="5">
        <v>45974.655162037037</v>
      </c>
      <c r="K63" s="6">
        <v>3.0092592351138592E-4</v>
      </c>
    </row>
    <row r="64" spans="1:11" x14ac:dyDescent="0.3">
      <c r="A64" s="2">
        <v>636</v>
      </c>
      <c r="B64" t="s">
        <v>827</v>
      </c>
      <c r="C64" t="s">
        <v>362</v>
      </c>
      <c r="D64" t="s">
        <v>58</v>
      </c>
      <c r="E64" t="s">
        <v>363</v>
      </c>
      <c r="F64" t="s">
        <v>763</v>
      </c>
      <c r="G64" s="4">
        <v>25</v>
      </c>
      <c r="H64" s="3" t="s">
        <v>766</v>
      </c>
      <c r="I64" s="5">
        <v>45974.655347222222</v>
      </c>
      <c r="J64" s="5">
        <v>45974.655798611115</v>
      </c>
      <c r="K64" s="6">
        <v>4.6296295477077365E-4</v>
      </c>
    </row>
    <row r="65" spans="1:11" x14ac:dyDescent="0.3">
      <c r="A65" s="2">
        <v>637</v>
      </c>
      <c r="B65" t="s">
        <v>828</v>
      </c>
      <c r="C65" t="s">
        <v>362</v>
      </c>
      <c r="D65" t="s">
        <v>61</v>
      </c>
      <c r="E65" t="s">
        <v>363</v>
      </c>
      <c r="F65" t="s">
        <v>763</v>
      </c>
      <c r="G65" s="4">
        <v>25</v>
      </c>
      <c r="H65" s="3" t="s">
        <v>766</v>
      </c>
      <c r="I65" s="5">
        <v>45974.655925925923</v>
      </c>
      <c r="J65" s="5">
        <v>45974.656076388892</v>
      </c>
      <c r="K65" s="6">
        <v>1.5046296175569296E-4</v>
      </c>
    </row>
    <row r="66" spans="1:11" x14ac:dyDescent="0.3">
      <c r="A66" s="2">
        <v>638</v>
      </c>
      <c r="B66" t="s">
        <v>829</v>
      </c>
      <c r="C66" t="s">
        <v>362</v>
      </c>
      <c r="D66" t="s">
        <v>63</v>
      </c>
      <c r="E66" t="s">
        <v>363</v>
      </c>
      <c r="F66" t="s">
        <v>763</v>
      </c>
      <c r="G66" s="4">
        <v>25</v>
      </c>
      <c r="H66" s="3" t="s">
        <v>766</v>
      </c>
      <c r="I66" s="5">
        <v>45974.656273148146</v>
      </c>
      <c r="J66" s="5">
        <v>45974.656458333331</v>
      </c>
      <c r="K66" s="6">
        <v>1.8518519937060773E-4</v>
      </c>
    </row>
    <row r="67" spans="1:11" x14ac:dyDescent="0.3">
      <c r="A67" s="2">
        <v>639</v>
      </c>
      <c r="B67" t="s">
        <v>830</v>
      </c>
      <c r="C67" t="s">
        <v>362</v>
      </c>
      <c r="D67" t="s">
        <v>65</v>
      </c>
      <c r="E67" t="s">
        <v>363</v>
      </c>
      <c r="F67" t="s">
        <v>763</v>
      </c>
      <c r="G67" s="4">
        <v>25</v>
      </c>
      <c r="H67" s="3" t="s">
        <v>766</v>
      </c>
      <c r="I67" s="5">
        <v>45974.65662037037</v>
      </c>
      <c r="J67" s="5">
        <v>45974.656851851854</v>
      </c>
      <c r="K67" s="6">
        <v>2.3148147738538682E-4</v>
      </c>
    </row>
    <row r="68" spans="1:11" x14ac:dyDescent="0.3">
      <c r="A68" s="2">
        <v>640</v>
      </c>
      <c r="B68" t="s">
        <v>831</v>
      </c>
      <c r="C68" t="s">
        <v>362</v>
      </c>
      <c r="D68" t="s">
        <v>67</v>
      </c>
      <c r="E68" t="s">
        <v>363</v>
      </c>
      <c r="F68" t="s">
        <v>763</v>
      </c>
      <c r="G68" s="4">
        <v>25</v>
      </c>
      <c r="H68" s="3" t="s">
        <v>766</v>
      </c>
      <c r="I68" s="5">
        <v>45974.656990740739</v>
      </c>
      <c r="J68" s="5">
        <v>45974.657256944447</v>
      </c>
      <c r="K68" s="6">
        <v>2.662037150003016E-4</v>
      </c>
    </row>
    <row r="69" spans="1:11" x14ac:dyDescent="0.3">
      <c r="A69" s="2">
        <v>641</v>
      </c>
      <c r="B69" t="s">
        <v>832</v>
      </c>
      <c r="C69" t="s">
        <v>362</v>
      </c>
      <c r="D69" t="s">
        <v>70</v>
      </c>
      <c r="E69" t="s">
        <v>363</v>
      </c>
      <c r="F69" t="s">
        <v>763</v>
      </c>
      <c r="G69" s="4">
        <v>25</v>
      </c>
      <c r="H69" s="3" t="s">
        <v>766</v>
      </c>
      <c r="I69" s="5">
        <v>45974.657395833332</v>
      </c>
      <c r="J69" s="5">
        <v>45974.657523148147</v>
      </c>
      <c r="K69" s="6">
        <v>1.1574075324460864E-4</v>
      </c>
    </row>
    <row r="70" spans="1:11" x14ac:dyDescent="0.3">
      <c r="A70" s="2">
        <v>642</v>
      </c>
      <c r="B70" t="s">
        <v>833</v>
      </c>
      <c r="C70" t="s">
        <v>362</v>
      </c>
      <c r="D70" t="s">
        <v>72</v>
      </c>
      <c r="E70" t="s">
        <v>363</v>
      </c>
      <c r="F70" t="s">
        <v>763</v>
      </c>
      <c r="G70" s="4">
        <v>25</v>
      </c>
      <c r="H70" s="3" t="s">
        <v>766</v>
      </c>
      <c r="I70" s="5">
        <v>45974.657650462963</v>
      </c>
      <c r="J70" s="5">
        <v>45974.657881944448</v>
      </c>
      <c r="K70" s="6">
        <v>2.3148147738538682E-4</v>
      </c>
    </row>
    <row r="71" spans="1:11" x14ac:dyDescent="0.3">
      <c r="A71" s="2">
        <v>643</v>
      </c>
      <c r="B71" t="s">
        <v>834</v>
      </c>
      <c r="C71" t="s">
        <v>362</v>
      </c>
      <c r="D71" t="s">
        <v>74</v>
      </c>
      <c r="E71" t="s">
        <v>363</v>
      </c>
      <c r="F71" t="s">
        <v>763</v>
      </c>
      <c r="G71" s="4">
        <v>25</v>
      </c>
      <c r="H71" s="3" t="s">
        <v>766</v>
      </c>
      <c r="I71" s="5">
        <v>45974.658009259256</v>
      </c>
      <c r="J71" s="5">
        <v>45974.65828703704</v>
      </c>
      <c r="K71" s="6">
        <v>2.7777778450399637E-4</v>
      </c>
    </row>
    <row r="72" spans="1:11" x14ac:dyDescent="0.3">
      <c r="A72" s="2">
        <v>644</v>
      </c>
      <c r="B72" t="s">
        <v>835</v>
      </c>
      <c r="C72" t="s">
        <v>362</v>
      </c>
      <c r="D72" t="s">
        <v>76</v>
      </c>
      <c r="E72" t="s">
        <v>363</v>
      </c>
      <c r="F72" t="s">
        <v>763</v>
      </c>
      <c r="G72" s="4">
        <v>25</v>
      </c>
      <c r="H72" s="3" t="s">
        <v>766</v>
      </c>
      <c r="I72" s="5">
        <v>45974.658425925925</v>
      </c>
      <c r="J72" s="5">
        <v>45974.658703703702</v>
      </c>
      <c r="K72" s="6">
        <v>2.662037150003016E-4</v>
      </c>
    </row>
    <row r="73" spans="1:11" x14ac:dyDescent="0.3">
      <c r="A73" s="2">
        <v>645</v>
      </c>
      <c r="B73" t="s">
        <v>836</v>
      </c>
      <c r="C73" t="s">
        <v>362</v>
      </c>
      <c r="D73" t="s">
        <v>78</v>
      </c>
      <c r="E73" t="s">
        <v>363</v>
      </c>
      <c r="F73" t="s">
        <v>763</v>
      </c>
      <c r="G73" s="4">
        <v>25</v>
      </c>
      <c r="H73" s="3" t="s">
        <v>766</v>
      </c>
      <c r="I73" s="5">
        <v>45974.658865740741</v>
      </c>
      <c r="J73" s="5">
        <v>45974.659548611111</v>
      </c>
      <c r="K73" s="6">
        <v>6.828703626524657E-4</v>
      </c>
    </row>
    <row r="74" spans="1:11" x14ac:dyDescent="0.3">
      <c r="A74" s="2">
        <v>646</v>
      </c>
      <c r="B74" t="s">
        <v>837</v>
      </c>
      <c r="C74" t="s">
        <v>362</v>
      </c>
      <c r="D74" t="s">
        <v>80</v>
      </c>
      <c r="E74" t="s">
        <v>363</v>
      </c>
      <c r="F74" t="s">
        <v>763</v>
      </c>
      <c r="G74" s="4">
        <v>25</v>
      </c>
      <c r="H74" s="3" t="s">
        <v>766</v>
      </c>
      <c r="I74" s="5">
        <v>45974.659675925926</v>
      </c>
      <c r="J74" s="5">
        <v>45974.659907407404</v>
      </c>
      <c r="K74" s="6">
        <v>2.3148147738538682E-4</v>
      </c>
    </row>
    <row r="75" spans="1:11" x14ac:dyDescent="0.3">
      <c r="A75" s="2">
        <v>647</v>
      </c>
      <c r="B75" t="s">
        <v>838</v>
      </c>
      <c r="C75" t="s">
        <v>362</v>
      </c>
      <c r="D75" t="s">
        <v>82</v>
      </c>
      <c r="E75" t="s">
        <v>363</v>
      </c>
      <c r="F75" t="s">
        <v>763</v>
      </c>
      <c r="G75" s="4">
        <v>25</v>
      </c>
      <c r="H75" s="3" t="s">
        <v>766</v>
      </c>
      <c r="I75" s="5">
        <v>45974.660034722219</v>
      </c>
      <c r="J75" s="5">
        <v>45974.660416666666</v>
      </c>
      <c r="K75" s="6">
        <v>3.8194443914107978E-4</v>
      </c>
    </row>
    <row r="76" spans="1:11" x14ac:dyDescent="0.3">
      <c r="A76" s="2">
        <v>648</v>
      </c>
      <c r="B76" t="s">
        <v>839</v>
      </c>
      <c r="C76" t="s">
        <v>362</v>
      </c>
      <c r="D76" t="s">
        <v>84</v>
      </c>
      <c r="E76" t="s">
        <v>363</v>
      </c>
      <c r="F76" t="s">
        <v>763</v>
      </c>
      <c r="G76" s="4">
        <v>25</v>
      </c>
      <c r="H76" s="3" t="s">
        <v>766</v>
      </c>
      <c r="I76" s="5">
        <v>45974.660590277781</v>
      </c>
      <c r="J76" s="5">
        <v>45974.66101851852</v>
      </c>
      <c r="K76" s="6">
        <v>4.1666667675599456E-4</v>
      </c>
    </row>
    <row r="77" spans="1:11" x14ac:dyDescent="0.3">
      <c r="A77" s="2">
        <v>649</v>
      </c>
      <c r="B77" t="s">
        <v>840</v>
      </c>
      <c r="C77" t="s">
        <v>362</v>
      </c>
      <c r="D77" t="s">
        <v>86</v>
      </c>
      <c r="E77" t="s">
        <v>363</v>
      </c>
      <c r="F77" t="s">
        <v>763</v>
      </c>
      <c r="G77" s="4">
        <v>25</v>
      </c>
      <c r="H77" s="3" t="s">
        <v>766</v>
      </c>
      <c r="I77" s="5">
        <v>45974.661157407405</v>
      </c>
      <c r="J77" s="5">
        <v>45974.661539351851</v>
      </c>
      <c r="K77" s="6">
        <v>3.8194443914107978E-4</v>
      </c>
    </row>
    <row r="78" spans="1:11" x14ac:dyDescent="0.3">
      <c r="A78" s="2">
        <v>650</v>
      </c>
      <c r="B78" t="s">
        <v>841</v>
      </c>
      <c r="C78" t="s">
        <v>362</v>
      </c>
      <c r="D78" t="s">
        <v>88</v>
      </c>
      <c r="E78" t="s">
        <v>363</v>
      </c>
      <c r="F78" t="s">
        <v>763</v>
      </c>
      <c r="G78" s="4">
        <v>25</v>
      </c>
      <c r="H78" s="3" t="s">
        <v>766</v>
      </c>
      <c r="I78" s="5">
        <v>45974.661770833336</v>
      </c>
      <c r="J78" s="5">
        <v>45974.662465277775</v>
      </c>
      <c r="K78" s="6">
        <v>6.9444443215616047E-4</v>
      </c>
    </row>
    <row r="79" spans="1:11" x14ac:dyDescent="0.3">
      <c r="A79" s="2">
        <v>651</v>
      </c>
      <c r="B79" t="s">
        <v>842</v>
      </c>
      <c r="C79" t="s">
        <v>362</v>
      </c>
      <c r="D79" t="s">
        <v>90</v>
      </c>
      <c r="E79" t="s">
        <v>363</v>
      </c>
      <c r="F79" t="s">
        <v>763</v>
      </c>
      <c r="G79" s="4">
        <v>25</v>
      </c>
      <c r="H79" s="3" t="s">
        <v>766</v>
      </c>
      <c r="I79" s="5">
        <v>45974.662615740737</v>
      </c>
      <c r="J79" s="5">
        <v>45974.663032407407</v>
      </c>
      <c r="K79" s="6">
        <v>4.1666667675599456E-4</v>
      </c>
    </row>
    <row r="80" spans="1:11" x14ac:dyDescent="0.3">
      <c r="A80" s="2">
        <v>652</v>
      </c>
      <c r="B80" t="s">
        <v>843</v>
      </c>
      <c r="C80" t="s">
        <v>362</v>
      </c>
      <c r="D80" t="s">
        <v>92</v>
      </c>
      <c r="E80" t="s">
        <v>363</v>
      </c>
      <c r="F80" t="s">
        <v>763</v>
      </c>
      <c r="G80" s="4">
        <v>25</v>
      </c>
      <c r="H80" s="3" t="s">
        <v>766</v>
      </c>
      <c r="I80" s="5">
        <v>45974.663344907407</v>
      </c>
      <c r="J80" s="5">
        <v>45974.663495370369</v>
      </c>
      <c r="K80" s="6">
        <v>1.5046296175569296E-4</v>
      </c>
    </row>
    <row r="81" spans="1:11" x14ac:dyDescent="0.3">
      <c r="A81" s="2">
        <v>653</v>
      </c>
      <c r="B81" t="s">
        <v>844</v>
      </c>
      <c r="C81" t="s">
        <v>362</v>
      </c>
      <c r="D81" t="s">
        <v>94</v>
      </c>
      <c r="E81" t="s">
        <v>363</v>
      </c>
      <c r="F81" t="s">
        <v>763</v>
      </c>
      <c r="G81" s="4">
        <v>25</v>
      </c>
      <c r="H81" s="3" t="s">
        <v>766</v>
      </c>
      <c r="I81" s="5">
        <v>45974.663634259261</v>
      </c>
      <c r="J81" s="5">
        <v>45974.663981481484</v>
      </c>
      <c r="K81" s="6">
        <v>3.4722223062999547E-4</v>
      </c>
    </row>
    <row r="82" spans="1:11" x14ac:dyDescent="0.3">
      <c r="A82" s="2">
        <v>654</v>
      </c>
      <c r="B82" t="s">
        <v>845</v>
      </c>
      <c r="C82" t="s">
        <v>362</v>
      </c>
      <c r="D82" t="s">
        <v>96</v>
      </c>
      <c r="E82" t="s">
        <v>363</v>
      </c>
      <c r="F82" t="s">
        <v>763</v>
      </c>
      <c r="G82" s="4">
        <v>25</v>
      </c>
      <c r="H82" s="3" t="s">
        <v>766</v>
      </c>
      <c r="I82" s="5">
        <v>45974.6641087963</v>
      </c>
      <c r="J82" s="5">
        <v>45974.664340277777</v>
      </c>
      <c r="K82" s="6">
        <v>2.3148147738538682E-4</v>
      </c>
    </row>
    <row r="83" spans="1:11" x14ac:dyDescent="0.3">
      <c r="A83" s="2">
        <v>655</v>
      </c>
      <c r="B83" t="s">
        <v>846</v>
      </c>
      <c r="C83" t="s">
        <v>362</v>
      </c>
      <c r="D83" t="s">
        <v>98</v>
      </c>
      <c r="E83" t="s">
        <v>363</v>
      </c>
      <c r="F83" t="s">
        <v>763</v>
      </c>
      <c r="G83" s="4">
        <v>25</v>
      </c>
      <c r="H83" s="3" t="s">
        <v>766</v>
      </c>
      <c r="I83" s="5">
        <v>45974.664456018516</v>
      </c>
      <c r="J83" s="5">
        <v>45974.664803240739</v>
      </c>
      <c r="K83" s="6">
        <v>3.4722223062999547E-4</v>
      </c>
    </row>
    <row r="84" spans="1:11" x14ac:dyDescent="0.3">
      <c r="A84" s="2">
        <v>656</v>
      </c>
      <c r="B84" t="s">
        <v>847</v>
      </c>
      <c r="C84" t="s">
        <v>362</v>
      </c>
      <c r="D84" t="s">
        <v>100</v>
      </c>
      <c r="E84" t="s">
        <v>363</v>
      </c>
      <c r="F84" t="s">
        <v>763</v>
      </c>
      <c r="G84" s="4">
        <v>25</v>
      </c>
      <c r="H84" s="3" t="s">
        <v>766</v>
      </c>
      <c r="I84" s="5">
        <v>45974.664930555555</v>
      </c>
      <c r="J84" s="5">
        <v>45974.665046296293</v>
      </c>
      <c r="K84" s="6">
        <v>1.1574075324460864E-4</v>
      </c>
    </row>
    <row r="85" spans="1:11" x14ac:dyDescent="0.3">
      <c r="A85" s="2">
        <v>657</v>
      </c>
      <c r="B85" t="s">
        <v>848</v>
      </c>
      <c r="C85" t="s">
        <v>362</v>
      </c>
      <c r="D85" t="s">
        <v>102</v>
      </c>
      <c r="E85" t="s">
        <v>363</v>
      </c>
      <c r="F85" t="s">
        <v>763</v>
      </c>
      <c r="G85" s="4">
        <v>25</v>
      </c>
      <c r="H85" s="3" t="s">
        <v>766</v>
      </c>
      <c r="I85" s="5">
        <v>45974.665150462963</v>
      </c>
      <c r="J85" s="5">
        <v>45974.665347222224</v>
      </c>
      <c r="K85" s="6">
        <v>1.8518519937060773E-4</v>
      </c>
    </row>
    <row r="86" spans="1:11" x14ac:dyDescent="0.3">
      <c r="A86" s="2">
        <v>658</v>
      </c>
      <c r="B86" t="s">
        <v>849</v>
      </c>
      <c r="C86" t="s">
        <v>362</v>
      </c>
      <c r="D86" t="s">
        <v>104</v>
      </c>
      <c r="E86" t="s">
        <v>363</v>
      </c>
      <c r="F86" t="s">
        <v>763</v>
      </c>
      <c r="G86" s="4">
        <v>25</v>
      </c>
      <c r="H86" s="3" t="s">
        <v>766</v>
      </c>
      <c r="I86" s="5">
        <v>45974.665462962963</v>
      </c>
      <c r="J86" s="5">
        <v>45974.666122685187</v>
      </c>
      <c r="K86" s="6">
        <v>6.4814815414138138E-4</v>
      </c>
    </row>
    <row r="87" spans="1:11" x14ac:dyDescent="0.3">
      <c r="A87" s="2">
        <v>659</v>
      </c>
      <c r="B87" t="s">
        <v>850</v>
      </c>
      <c r="C87" t="s">
        <v>362</v>
      </c>
      <c r="D87" t="s">
        <v>106</v>
      </c>
      <c r="E87" t="s">
        <v>363</v>
      </c>
      <c r="F87" t="s">
        <v>763</v>
      </c>
      <c r="G87" s="4">
        <v>25</v>
      </c>
      <c r="H87" s="3" t="s">
        <v>766</v>
      </c>
      <c r="I87" s="5">
        <v>45974.666319444441</v>
      </c>
      <c r="J87" s="5">
        <v>45974.66646990741</v>
      </c>
      <c r="K87" s="6">
        <v>1.6203703125938773E-4</v>
      </c>
    </row>
    <row r="88" spans="1:11" x14ac:dyDescent="0.3">
      <c r="A88" s="2">
        <v>660</v>
      </c>
      <c r="B88" t="s">
        <v>851</v>
      </c>
      <c r="C88" t="s">
        <v>362</v>
      </c>
      <c r="D88" t="s">
        <v>108</v>
      </c>
      <c r="E88" t="s">
        <v>363</v>
      </c>
      <c r="F88" t="s">
        <v>763</v>
      </c>
      <c r="G88" s="4">
        <v>25</v>
      </c>
      <c r="H88" s="3" t="s">
        <v>766</v>
      </c>
      <c r="I88" s="5">
        <v>45974.666631944441</v>
      </c>
      <c r="J88" s="5">
        <v>45974.666979166665</v>
      </c>
      <c r="K88" s="6">
        <v>3.4722223062999547E-4</v>
      </c>
    </row>
    <row r="89" spans="1:11" x14ac:dyDescent="0.3">
      <c r="A89" s="2">
        <v>661</v>
      </c>
      <c r="B89" t="s">
        <v>852</v>
      </c>
      <c r="C89" t="s">
        <v>362</v>
      </c>
      <c r="D89" t="s">
        <v>466</v>
      </c>
      <c r="E89" t="s">
        <v>363</v>
      </c>
      <c r="F89" t="s">
        <v>763</v>
      </c>
      <c r="G89" s="4">
        <v>25</v>
      </c>
      <c r="H89" s="3" t="s">
        <v>766</v>
      </c>
      <c r="I89" s="5">
        <v>45974.675104166665</v>
      </c>
      <c r="J89" s="5">
        <v>45974.675405092596</v>
      </c>
      <c r="K89" s="6">
        <v>3.0092592351138592E-4</v>
      </c>
    </row>
    <row r="90" spans="1:11" x14ac:dyDescent="0.3">
      <c r="A90" s="2">
        <v>662</v>
      </c>
      <c r="B90" t="s">
        <v>853</v>
      </c>
      <c r="C90" t="s">
        <v>362</v>
      </c>
      <c r="D90" t="s">
        <v>56</v>
      </c>
      <c r="E90" t="s">
        <v>367</v>
      </c>
      <c r="F90" t="s">
        <v>763</v>
      </c>
      <c r="G90" s="4">
        <v>25</v>
      </c>
      <c r="H90" s="3" t="s">
        <v>766</v>
      </c>
      <c r="I90" s="5">
        <v>45974.676516203705</v>
      </c>
      <c r="J90" s="5">
        <v>45974.676782407405</v>
      </c>
      <c r="K90" s="6">
        <v>2.662037150003016E-4</v>
      </c>
    </row>
    <row r="91" spans="1:11" x14ac:dyDescent="0.3">
      <c r="A91" s="2">
        <v>663</v>
      </c>
      <c r="B91" t="s">
        <v>854</v>
      </c>
      <c r="C91" t="s">
        <v>362</v>
      </c>
      <c r="D91" t="s">
        <v>58</v>
      </c>
      <c r="E91" t="s">
        <v>367</v>
      </c>
      <c r="F91" t="s">
        <v>763</v>
      </c>
      <c r="G91" s="4">
        <v>25</v>
      </c>
      <c r="H91" s="3" t="s">
        <v>766</v>
      </c>
      <c r="I91" s="5">
        <v>45974.676898148151</v>
      </c>
      <c r="J91" s="5">
        <v>45974.67728009259</v>
      </c>
      <c r="K91" s="6">
        <v>3.8194443914107978E-4</v>
      </c>
    </row>
    <row r="92" spans="1:11" x14ac:dyDescent="0.3">
      <c r="A92" s="2">
        <v>664</v>
      </c>
      <c r="B92" t="s">
        <v>855</v>
      </c>
      <c r="C92" t="s">
        <v>362</v>
      </c>
      <c r="D92" t="s">
        <v>61</v>
      </c>
      <c r="E92" t="s">
        <v>367</v>
      </c>
      <c r="F92" t="s">
        <v>763</v>
      </c>
      <c r="G92" s="4">
        <v>25</v>
      </c>
      <c r="H92" s="3" t="s">
        <v>766</v>
      </c>
      <c r="I92" s="5">
        <v>45974.677407407406</v>
      </c>
      <c r="J92" s="5">
        <v>45974.677789351852</v>
      </c>
      <c r="K92" s="6">
        <v>3.8194443914107978E-4</v>
      </c>
    </row>
    <row r="93" spans="1:11" x14ac:dyDescent="0.3">
      <c r="A93" s="2">
        <v>665</v>
      </c>
      <c r="B93" t="s">
        <v>856</v>
      </c>
      <c r="C93" t="s">
        <v>362</v>
      </c>
      <c r="D93" t="s">
        <v>63</v>
      </c>
      <c r="E93" t="s">
        <v>367</v>
      </c>
      <c r="F93" t="s">
        <v>763</v>
      </c>
      <c r="G93" s="4">
        <v>25</v>
      </c>
      <c r="H93" s="3" t="s">
        <v>766</v>
      </c>
      <c r="I93" s="5">
        <v>45974.677939814814</v>
      </c>
      <c r="J93" s="5">
        <v>45974.678090277775</v>
      </c>
      <c r="K93" s="6">
        <v>1.5046296175569296E-4</v>
      </c>
    </row>
    <row r="94" spans="1:11" x14ac:dyDescent="0.3">
      <c r="A94" s="2">
        <v>666</v>
      </c>
      <c r="B94" t="s">
        <v>857</v>
      </c>
      <c r="C94" t="s">
        <v>362</v>
      </c>
      <c r="D94" t="s">
        <v>65</v>
      </c>
      <c r="E94" t="s">
        <v>367</v>
      </c>
      <c r="F94" t="s">
        <v>763</v>
      </c>
      <c r="G94" s="4">
        <v>25</v>
      </c>
      <c r="H94" s="3" t="s">
        <v>766</v>
      </c>
      <c r="I94" s="5">
        <v>45974.678263888891</v>
      </c>
      <c r="J94" s="5">
        <v>45974.678425925929</v>
      </c>
      <c r="K94" s="6">
        <v>1.6203703125938773E-4</v>
      </c>
    </row>
    <row r="95" spans="1:11" x14ac:dyDescent="0.3">
      <c r="A95" s="2">
        <v>667</v>
      </c>
      <c r="B95" t="s">
        <v>858</v>
      </c>
      <c r="C95" t="s">
        <v>362</v>
      </c>
      <c r="D95" t="s">
        <v>67</v>
      </c>
      <c r="E95" t="s">
        <v>367</v>
      </c>
      <c r="F95" t="s">
        <v>763</v>
      </c>
      <c r="G95" s="4">
        <v>25</v>
      </c>
      <c r="H95" s="3" t="s">
        <v>766</v>
      </c>
      <c r="I95" s="5">
        <v>45974.678587962961</v>
      </c>
      <c r="J95" s="5">
        <v>45974.678819444445</v>
      </c>
      <c r="K95" s="6">
        <v>2.3148147738538682E-4</v>
      </c>
    </row>
    <row r="96" spans="1:11" x14ac:dyDescent="0.3">
      <c r="A96" s="2">
        <v>668</v>
      </c>
      <c r="B96" t="s">
        <v>859</v>
      </c>
      <c r="C96" t="s">
        <v>362</v>
      </c>
      <c r="D96" t="s">
        <v>70</v>
      </c>
      <c r="E96" t="s">
        <v>367</v>
      </c>
      <c r="F96" t="s">
        <v>763</v>
      </c>
      <c r="G96" s="4">
        <v>25</v>
      </c>
      <c r="H96" s="3" t="s">
        <v>766</v>
      </c>
      <c r="I96" s="5">
        <v>45974.678969907407</v>
      </c>
      <c r="J96" s="5">
        <v>45974.679201388892</v>
      </c>
      <c r="K96" s="6">
        <v>2.3148147738538682E-4</v>
      </c>
    </row>
    <row r="97" spans="1:11" x14ac:dyDescent="0.3">
      <c r="A97" s="2">
        <v>669</v>
      </c>
      <c r="B97" t="s">
        <v>860</v>
      </c>
      <c r="C97" t="s">
        <v>362</v>
      </c>
      <c r="D97" t="s">
        <v>72</v>
      </c>
      <c r="E97" t="s">
        <v>367</v>
      </c>
      <c r="F97" t="s">
        <v>763</v>
      </c>
      <c r="G97" s="4">
        <v>25</v>
      </c>
      <c r="H97" s="3" t="s">
        <v>766</v>
      </c>
      <c r="I97" s="5">
        <v>45974.679340277777</v>
      </c>
      <c r="J97" s="5">
        <v>45974.679571759261</v>
      </c>
      <c r="K97" s="6">
        <v>2.3148147738538682E-4</v>
      </c>
    </row>
    <row r="98" spans="1:11" x14ac:dyDescent="0.3">
      <c r="A98" s="2">
        <v>670</v>
      </c>
      <c r="B98" t="s">
        <v>861</v>
      </c>
      <c r="C98" t="s">
        <v>362</v>
      </c>
      <c r="D98" t="s">
        <v>74</v>
      </c>
      <c r="E98" t="s">
        <v>367</v>
      </c>
      <c r="F98" t="s">
        <v>763</v>
      </c>
      <c r="G98" s="4">
        <v>25</v>
      </c>
      <c r="H98" s="3" t="s">
        <v>766</v>
      </c>
      <c r="I98" s="5">
        <v>45974.679710648146</v>
      </c>
      <c r="J98" s="5">
        <v>45974.679861111108</v>
      </c>
      <c r="K98" s="6">
        <v>1.5046296175569296E-4</v>
      </c>
    </row>
    <row r="99" spans="1:11" x14ac:dyDescent="0.3">
      <c r="A99" s="2">
        <v>671</v>
      </c>
      <c r="B99" t="s">
        <v>862</v>
      </c>
      <c r="C99" t="s">
        <v>362</v>
      </c>
      <c r="D99" t="s">
        <v>76</v>
      </c>
      <c r="E99" t="s">
        <v>367</v>
      </c>
      <c r="F99" t="s">
        <v>763</v>
      </c>
      <c r="G99" s="4">
        <v>25</v>
      </c>
      <c r="H99" s="3" t="s">
        <v>766</v>
      </c>
      <c r="I99" s="5">
        <v>45974.680023148147</v>
      </c>
      <c r="J99" s="5">
        <v>45974.680185185185</v>
      </c>
      <c r="K99" s="6">
        <v>1.6203703125938773E-4</v>
      </c>
    </row>
    <row r="100" spans="1:11" x14ac:dyDescent="0.3">
      <c r="A100" s="2">
        <v>672</v>
      </c>
      <c r="B100" t="s">
        <v>863</v>
      </c>
      <c r="C100" t="s">
        <v>362</v>
      </c>
      <c r="D100" t="s">
        <v>78</v>
      </c>
      <c r="E100" t="s">
        <v>367</v>
      </c>
      <c r="F100" t="s">
        <v>763</v>
      </c>
      <c r="G100" s="4">
        <v>25</v>
      </c>
      <c r="H100" s="3" t="s">
        <v>766</v>
      </c>
      <c r="I100" s="5">
        <v>45974.680335648147</v>
      </c>
      <c r="J100" s="5">
        <v>45974.680497685185</v>
      </c>
      <c r="K100" s="6">
        <v>1.6203703125938773E-4</v>
      </c>
    </row>
    <row r="101" spans="1:11" x14ac:dyDescent="0.3">
      <c r="A101" s="2">
        <v>673</v>
      </c>
      <c r="B101" t="s">
        <v>864</v>
      </c>
      <c r="C101" t="s">
        <v>362</v>
      </c>
      <c r="D101" t="s">
        <v>80</v>
      </c>
      <c r="E101" t="s">
        <v>367</v>
      </c>
      <c r="F101" t="s">
        <v>763</v>
      </c>
      <c r="G101" s="4">
        <v>25</v>
      </c>
      <c r="H101" s="3" t="s">
        <v>766</v>
      </c>
      <c r="I101" s="5">
        <v>45974.680625000001</v>
      </c>
      <c r="J101" s="5">
        <v>45974.680775462963</v>
      </c>
      <c r="K101" s="6">
        <v>1.6203703125938773E-4</v>
      </c>
    </row>
    <row r="102" spans="1:11" x14ac:dyDescent="0.3">
      <c r="A102" s="2">
        <v>674</v>
      </c>
      <c r="B102" t="s">
        <v>865</v>
      </c>
      <c r="C102" t="s">
        <v>362</v>
      </c>
      <c r="D102" t="s">
        <v>82</v>
      </c>
      <c r="E102" t="s">
        <v>367</v>
      </c>
      <c r="F102" t="s">
        <v>763</v>
      </c>
      <c r="G102" s="4">
        <v>25</v>
      </c>
      <c r="H102" s="3" t="s">
        <v>766</v>
      </c>
      <c r="I102" s="5">
        <v>45974.680937500001</v>
      </c>
      <c r="J102" s="5">
        <v>45974.681087962963</v>
      </c>
      <c r="K102" s="6">
        <v>1.5046296175569296E-4</v>
      </c>
    </row>
    <row r="103" spans="1:11" x14ac:dyDescent="0.3">
      <c r="A103" s="2">
        <v>675</v>
      </c>
      <c r="B103" t="s">
        <v>866</v>
      </c>
      <c r="C103" t="s">
        <v>362</v>
      </c>
      <c r="D103" t="s">
        <v>84</v>
      </c>
      <c r="E103" t="s">
        <v>367</v>
      </c>
      <c r="F103" t="s">
        <v>763</v>
      </c>
      <c r="G103" s="4">
        <v>25</v>
      </c>
      <c r="H103" s="3" t="s">
        <v>766</v>
      </c>
      <c r="I103" s="5">
        <v>45974.681226851855</v>
      </c>
      <c r="J103" s="5">
        <v>45974.681377314817</v>
      </c>
      <c r="K103" s="6">
        <v>1.5046296175569296E-4</v>
      </c>
    </row>
    <row r="104" spans="1:11" x14ac:dyDescent="0.3">
      <c r="A104" s="2">
        <v>676</v>
      </c>
      <c r="B104" t="s">
        <v>867</v>
      </c>
      <c r="C104" t="s">
        <v>362</v>
      </c>
      <c r="D104" t="s">
        <v>86</v>
      </c>
      <c r="E104" t="s">
        <v>367</v>
      </c>
      <c r="F104" t="s">
        <v>763</v>
      </c>
      <c r="G104" s="4">
        <v>25</v>
      </c>
      <c r="H104" s="3" t="s">
        <v>766</v>
      </c>
      <c r="I104" s="5">
        <v>45974.681574074071</v>
      </c>
      <c r="J104" s="5">
        <v>45974.681956018518</v>
      </c>
      <c r="K104" s="6">
        <v>3.8194443914107978E-4</v>
      </c>
    </row>
    <row r="105" spans="1:11" x14ac:dyDescent="0.3">
      <c r="A105" s="2">
        <v>677</v>
      </c>
      <c r="B105" t="s">
        <v>868</v>
      </c>
      <c r="C105" t="s">
        <v>362</v>
      </c>
      <c r="D105" t="s">
        <v>88</v>
      </c>
      <c r="E105" t="s">
        <v>367</v>
      </c>
      <c r="F105" t="s">
        <v>763</v>
      </c>
      <c r="G105" s="4">
        <v>25</v>
      </c>
      <c r="H105" s="3" t="s">
        <v>766</v>
      </c>
      <c r="I105" s="5">
        <v>45974.682106481479</v>
      </c>
      <c r="J105" s="5">
        <v>45974.682256944441</v>
      </c>
      <c r="K105" s="6">
        <v>1.5046296175569296E-4</v>
      </c>
    </row>
    <row r="106" spans="1:11" x14ac:dyDescent="0.3">
      <c r="A106" s="2">
        <v>678</v>
      </c>
      <c r="B106" t="s">
        <v>869</v>
      </c>
      <c r="C106" t="s">
        <v>362</v>
      </c>
      <c r="D106" t="s">
        <v>90</v>
      </c>
      <c r="E106" t="s">
        <v>367</v>
      </c>
      <c r="F106" t="s">
        <v>763</v>
      </c>
      <c r="G106" s="4">
        <v>25</v>
      </c>
      <c r="H106" s="3" t="s">
        <v>766</v>
      </c>
      <c r="I106" s="5">
        <v>45974.682581018518</v>
      </c>
      <c r="J106" s="5">
        <v>45974.68273148148</v>
      </c>
      <c r="K106" s="6">
        <v>1.6203703125938773E-4</v>
      </c>
    </row>
    <row r="107" spans="1:11" x14ac:dyDescent="0.3">
      <c r="A107" s="2">
        <v>679</v>
      </c>
      <c r="B107" t="s">
        <v>870</v>
      </c>
      <c r="C107" t="s">
        <v>362</v>
      </c>
      <c r="D107" t="s">
        <v>92</v>
      </c>
      <c r="E107" t="s">
        <v>367</v>
      </c>
      <c r="F107" t="s">
        <v>763</v>
      </c>
      <c r="G107" s="4">
        <v>25</v>
      </c>
      <c r="H107" s="3" t="s">
        <v>766</v>
      </c>
      <c r="I107" s="5">
        <v>45974.682881944442</v>
      </c>
      <c r="J107" s="5">
        <v>45974.683032407411</v>
      </c>
      <c r="K107" s="6">
        <v>1.5046296175569296E-4</v>
      </c>
    </row>
    <row r="108" spans="1:11" x14ac:dyDescent="0.3">
      <c r="A108" s="2">
        <v>680</v>
      </c>
      <c r="B108" t="s">
        <v>871</v>
      </c>
      <c r="C108" t="s">
        <v>362</v>
      </c>
      <c r="D108" t="s">
        <v>94</v>
      </c>
      <c r="E108" t="s">
        <v>367</v>
      </c>
      <c r="F108" t="s">
        <v>763</v>
      </c>
      <c r="G108" s="4">
        <v>25</v>
      </c>
      <c r="H108" s="3" t="s">
        <v>766</v>
      </c>
      <c r="I108" s="5">
        <v>45974.683194444442</v>
      </c>
      <c r="J108" s="5">
        <v>45974.683344907404</v>
      </c>
      <c r="K108" s="6">
        <v>1.6203703125938773E-4</v>
      </c>
    </row>
    <row r="109" spans="1:11" x14ac:dyDescent="0.3">
      <c r="A109" s="2">
        <v>681</v>
      </c>
      <c r="B109" t="s">
        <v>872</v>
      </c>
      <c r="C109" t="s">
        <v>362</v>
      </c>
      <c r="D109" t="s">
        <v>96</v>
      </c>
      <c r="E109" t="s">
        <v>367</v>
      </c>
      <c r="F109" t="s">
        <v>763</v>
      </c>
      <c r="G109" s="4">
        <v>25</v>
      </c>
      <c r="H109" s="3" t="s">
        <v>766</v>
      </c>
      <c r="I109" s="5">
        <v>45974.683518518519</v>
      </c>
      <c r="J109" s="5">
        <v>45974.683668981481</v>
      </c>
      <c r="K109" s="6">
        <v>1.5046296175569296E-4</v>
      </c>
    </row>
    <row r="110" spans="1:11" x14ac:dyDescent="0.3">
      <c r="A110" s="2">
        <v>682</v>
      </c>
      <c r="B110" t="s">
        <v>873</v>
      </c>
      <c r="C110" t="s">
        <v>362</v>
      </c>
      <c r="D110" t="s">
        <v>98</v>
      </c>
      <c r="E110" t="s">
        <v>367</v>
      </c>
      <c r="F110" t="s">
        <v>763</v>
      </c>
      <c r="G110" s="4">
        <v>25</v>
      </c>
      <c r="H110" s="3" t="s">
        <v>766</v>
      </c>
      <c r="I110" s="5">
        <v>45974.683831018519</v>
      </c>
      <c r="J110" s="5">
        <v>45974.683946759258</v>
      </c>
      <c r="K110" s="6">
        <v>1.1574075324460864E-4</v>
      </c>
    </row>
    <row r="111" spans="1:11" x14ac:dyDescent="0.3">
      <c r="A111" s="2">
        <v>683</v>
      </c>
      <c r="B111" t="s">
        <v>874</v>
      </c>
      <c r="C111" t="s">
        <v>362</v>
      </c>
      <c r="D111" t="s">
        <v>100</v>
      </c>
      <c r="E111" t="s">
        <v>367</v>
      </c>
      <c r="F111" t="s">
        <v>763</v>
      </c>
      <c r="G111" s="4">
        <v>25</v>
      </c>
      <c r="H111" s="3" t="s">
        <v>766</v>
      </c>
      <c r="I111" s="5">
        <v>45974.684166666666</v>
      </c>
      <c r="J111" s="5">
        <v>45974.684317129628</v>
      </c>
      <c r="K111" s="6">
        <v>1.6203703125938773E-4</v>
      </c>
    </row>
    <row r="112" spans="1:11" x14ac:dyDescent="0.3">
      <c r="A112" s="2">
        <v>684</v>
      </c>
      <c r="B112" t="s">
        <v>875</v>
      </c>
      <c r="C112" t="s">
        <v>362</v>
      </c>
      <c r="D112" t="s">
        <v>102</v>
      </c>
      <c r="E112" t="s">
        <v>367</v>
      </c>
      <c r="F112" t="s">
        <v>763</v>
      </c>
      <c r="G112" s="4">
        <v>25</v>
      </c>
      <c r="H112" s="3" t="s">
        <v>766</v>
      </c>
      <c r="I112" s="5">
        <v>45974.684490740743</v>
      </c>
      <c r="J112" s="5">
        <v>45974.684756944444</v>
      </c>
      <c r="K112" s="6">
        <v>2.662037150003016E-4</v>
      </c>
    </row>
    <row r="113" spans="1:11" x14ac:dyDescent="0.3">
      <c r="A113" s="2">
        <v>685</v>
      </c>
      <c r="B113" t="s">
        <v>876</v>
      </c>
      <c r="C113" t="s">
        <v>362</v>
      </c>
      <c r="D113" t="s">
        <v>104</v>
      </c>
      <c r="E113" t="s">
        <v>367</v>
      </c>
      <c r="F113" t="s">
        <v>763</v>
      </c>
      <c r="G113" s="4">
        <v>25</v>
      </c>
      <c r="H113" s="3" t="s">
        <v>766</v>
      </c>
      <c r="I113" s="5">
        <v>45974.684918981482</v>
      </c>
      <c r="J113" s="5">
        <v>45974.685115740744</v>
      </c>
      <c r="K113" s="6">
        <v>1.9675926887430251E-4</v>
      </c>
    </row>
    <row r="114" spans="1:11" x14ac:dyDescent="0.3">
      <c r="A114" s="2">
        <v>686</v>
      </c>
      <c r="B114" t="s">
        <v>877</v>
      </c>
      <c r="C114" t="s">
        <v>362</v>
      </c>
      <c r="D114" t="s">
        <v>106</v>
      </c>
      <c r="E114" t="s">
        <v>367</v>
      </c>
      <c r="F114" t="s">
        <v>763</v>
      </c>
      <c r="G114" s="4">
        <v>25</v>
      </c>
      <c r="H114" s="3" t="s">
        <v>766</v>
      </c>
      <c r="I114" s="5">
        <v>45974.685254629629</v>
      </c>
      <c r="J114" s="5">
        <v>45974.685370370367</v>
      </c>
      <c r="K114" s="6">
        <v>1.1574075324460864E-4</v>
      </c>
    </row>
    <row r="115" spans="1:11" x14ac:dyDescent="0.3">
      <c r="A115" s="2">
        <v>687</v>
      </c>
      <c r="B115" t="s">
        <v>878</v>
      </c>
      <c r="C115" t="s">
        <v>362</v>
      </c>
      <c r="D115" t="s">
        <v>108</v>
      </c>
      <c r="E115" t="s">
        <v>367</v>
      </c>
      <c r="F115" t="s">
        <v>763</v>
      </c>
      <c r="G115" s="4">
        <v>25</v>
      </c>
      <c r="H115" s="3" t="s">
        <v>766</v>
      </c>
      <c r="I115" s="5">
        <v>45974.685578703706</v>
      </c>
      <c r="J115" s="5">
        <v>45974.685729166667</v>
      </c>
      <c r="K115" s="6">
        <v>1.5046296175569296E-4</v>
      </c>
    </row>
    <row r="116" spans="1:11" x14ac:dyDescent="0.3">
      <c r="A116" s="2">
        <v>688</v>
      </c>
      <c r="B116" t="s">
        <v>879</v>
      </c>
      <c r="C116" t="s">
        <v>362</v>
      </c>
      <c r="D116" t="s">
        <v>466</v>
      </c>
      <c r="E116" t="s">
        <v>367</v>
      </c>
      <c r="F116" t="s">
        <v>763</v>
      </c>
      <c r="G116" s="4">
        <v>25</v>
      </c>
      <c r="H116" s="3" t="s">
        <v>766</v>
      </c>
      <c r="I116" s="5">
        <v>45974.686099537037</v>
      </c>
      <c r="J116" s="5">
        <v>45974.686249999999</v>
      </c>
      <c r="K116" s="6">
        <v>1.6203703125938773E-4</v>
      </c>
    </row>
    <row r="117" spans="1:11" x14ac:dyDescent="0.3">
      <c r="A117" s="2">
        <v>689</v>
      </c>
      <c r="B117" t="s">
        <v>880</v>
      </c>
      <c r="C117" t="s">
        <v>353</v>
      </c>
      <c r="D117" t="s">
        <v>466</v>
      </c>
      <c r="E117" t="s">
        <v>881</v>
      </c>
      <c r="F117" t="s">
        <v>763</v>
      </c>
      <c r="G117" s="4">
        <v>25</v>
      </c>
      <c r="H117" s="3" t="s">
        <v>766</v>
      </c>
      <c r="I117" s="5">
        <v>45975.491041666668</v>
      </c>
      <c r="J117" s="5">
        <v>45975.491770833331</v>
      </c>
      <c r="K117" s="6">
        <v>7.2916666977107525E-4</v>
      </c>
    </row>
    <row r="118" spans="1:11" x14ac:dyDescent="0.3">
      <c r="A118" s="2">
        <v>690</v>
      </c>
      <c r="B118" t="s">
        <v>882</v>
      </c>
      <c r="C118" t="s">
        <v>353</v>
      </c>
      <c r="D118" t="s">
        <v>466</v>
      </c>
      <c r="E118" t="s">
        <v>883</v>
      </c>
      <c r="F118" t="s">
        <v>763</v>
      </c>
      <c r="G118" s="4">
        <v>25</v>
      </c>
      <c r="H118" s="3" t="s">
        <v>766</v>
      </c>
      <c r="I118" s="5">
        <v>45975.491886574076</v>
      </c>
      <c r="J118" s="5">
        <v>45975.492210648146</v>
      </c>
      <c r="K118" s="6">
        <v>3.2407406251877546E-4</v>
      </c>
    </row>
    <row r="119" spans="1:11" x14ac:dyDescent="0.3">
      <c r="A119" s="2">
        <v>691</v>
      </c>
      <c r="B119" t="s">
        <v>884</v>
      </c>
      <c r="C119" t="s">
        <v>353</v>
      </c>
      <c r="D119" t="s">
        <v>466</v>
      </c>
      <c r="E119" t="s">
        <v>885</v>
      </c>
      <c r="F119" t="s">
        <v>763</v>
      </c>
      <c r="G119" s="4">
        <v>25</v>
      </c>
      <c r="H119" s="3" t="s">
        <v>766</v>
      </c>
      <c r="I119" s="5">
        <v>45975.496354166666</v>
      </c>
      <c r="J119" s="5">
        <v>45975.496562499997</v>
      </c>
      <c r="K119" s="6">
        <v>1.9675926887430251E-4</v>
      </c>
    </row>
    <row r="120" spans="1:11" x14ac:dyDescent="0.3">
      <c r="A120" s="2">
        <v>692</v>
      </c>
      <c r="B120" t="s">
        <v>886</v>
      </c>
      <c r="C120" t="s">
        <v>353</v>
      </c>
      <c r="D120" t="s">
        <v>466</v>
      </c>
      <c r="E120" t="s">
        <v>887</v>
      </c>
      <c r="F120" t="s">
        <v>763</v>
      </c>
      <c r="G120" s="4">
        <v>25</v>
      </c>
      <c r="H120" s="3" t="s">
        <v>766</v>
      </c>
      <c r="I120" s="5">
        <v>45975.509884259256</v>
      </c>
      <c r="J120" s="5">
        <v>45975.509930555556</v>
      </c>
      <c r="K120" s="6">
        <v>4.6296307118609548E-5</v>
      </c>
    </row>
    <row r="121" spans="1:11" x14ac:dyDescent="0.3">
      <c r="A121" s="2">
        <v>693</v>
      </c>
      <c r="B121" t="s">
        <v>888</v>
      </c>
      <c r="C121" t="s">
        <v>353</v>
      </c>
      <c r="D121" t="s">
        <v>466</v>
      </c>
      <c r="E121" t="s">
        <v>371</v>
      </c>
      <c r="F121" t="s">
        <v>763</v>
      </c>
      <c r="G121" s="4">
        <v>25</v>
      </c>
      <c r="H121" s="3" t="s">
        <v>766</v>
      </c>
      <c r="I121" s="5">
        <v>45975.610474537039</v>
      </c>
      <c r="J121" s="5">
        <v>45975.610763888886</v>
      </c>
      <c r="K121" s="6">
        <v>2.8935185400769114E-4</v>
      </c>
    </row>
    <row r="122" spans="1:11" x14ac:dyDescent="0.3">
      <c r="A122" s="2">
        <v>694</v>
      </c>
      <c r="B122" t="s">
        <v>889</v>
      </c>
      <c r="C122" t="s">
        <v>353</v>
      </c>
      <c r="D122" t="s">
        <v>466</v>
      </c>
      <c r="E122" t="s">
        <v>375</v>
      </c>
      <c r="F122" t="s">
        <v>763</v>
      </c>
      <c r="G122" s="4">
        <v>25</v>
      </c>
      <c r="H122" s="3" t="s">
        <v>766</v>
      </c>
      <c r="I122" s="5">
        <v>45975.614479166667</v>
      </c>
      <c r="J122" s="5">
        <v>45975.614641203705</v>
      </c>
      <c r="K122" s="6">
        <v>1.736111007630825E-4</v>
      </c>
    </row>
    <row r="123" spans="1:11" x14ac:dyDescent="0.3">
      <c r="A123" s="2">
        <v>695</v>
      </c>
      <c r="B123" t="s">
        <v>890</v>
      </c>
      <c r="C123" t="s">
        <v>353</v>
      </c>
      <c r="D123" t="s">
        <v>466</v>
      </c>
      <c r="E123" t="s">
        <v>891</v>
      </c>
      <c r="F123" t="s">
        <v>763</v>
      </c>
      <c r="G123" s="4">
        <v>25</v>
      </c>
      <c r="H123" s="3" t="s">
        <v>766</v>
      </c>
      <c r="I123" s="5">
        <v>45978.488032407404</v>
      </c>
      <c r="J123" s="5">
        <v>45978.488680555558</v>
      </c>
      <c r="K123" s="6">
        <v>6.4814815414138138E-4</v>
      </c>
    </row>
    <row r="124" spans="1:11" x14ac:dyDescent="0.3">
      <c r="A124" s="2">
        <v>696</v>
      </c>
      <c r="B124" t="s">
        <v>892</v>
      </c>
      <c r="C124" t="s">
        <v>353</v>
      </c>
      <c r="D124" t="s">
        <v>466</v>
      </c>
      <c r="E124" t="s">
        <v>664</v>
      </c>
      <c r="F124" t="s">
        <v>763</v>
      </c>
      <c r="G124" s="4">
        <v>25</v>
      </c>
      <c r="H124" s="3" t="s">
        <v>766</v>
      </c>
      <c r="I124" s="5">
        <v>45978.490266203706</v>
      </c>
      <c r="J124" s="5">
        <v>45978.490925925929</v>
      </c>
      <c r="K124" s="6">
        <v>6.5972222364507616E-4</v>
      </c>
    </row>
    <row r="125" spans="1:11" x14ac:dyDescent="0.3">
      <c r="A125" s="2">
        <v>697</v>
      </c>
      <c r="B125" t="s">
        <v>893</v>
      </c>
      <c r="C125" t="s">
        <v>353</v>
      </c>
      <c r="D125" t="s">
        <v>466</v>
      </c>
      <c r="E125" t="s">
        <v>375</v>
      </c>
      <c r="F125" t="s">
        <v>763</v>
      </c>
      <c r="G125" s="4">
        <v>25</v>
      </c>
      <c r="H125" s="3" t="s">
        <v>766</v>
      </c>
      <c r="I125" s="5">
        <v>45978.491099537037</v>
      </c>
      <c r="J125" s="5">
        <v>45978.491342592592</v>
      </c>
      <c r="K125" s="6">
        <v>2.430555468890816E-4</v>
      </c>
    </row>
    <row r="126" spans="1:11" x14ac:dyDescent="0.3">
      <c r="A126" s="2">
        <v>698</v>
      </c>
      <c r="B126" t="s">
        <v>894</v>
      </c>
      <c r="C126" t="s">
        <v>353</v>
      </c>
      <c r="D126" t="s">
        <v>466</v>
      </c>
      <c r="E126" t="s">
        <v>881</v>
      </c>
      <c r="F126" t="s">
        <v>763</v>
      </c>
      <c r="G126" s="4">
        <v>25</v>
      </c>
      <c r="H126" s="3" t="s">
        <v>766</v>
      </c>
      <c r="I126" s="5">
        <v>45978.499756944446</v>
      </c>
      <c r="J126" s="5">
        <v>45978.500057870369</v>
      </c>
      <c r="K126" s="6">
        <v>2.8935185400769114E-4</v>
      </c>
    </row>
    <row r="127" spans="1:11" x14ac:dyDescent="0.3">
      <c r="A127" s="2">
        <v>699</v>
      </c>
      <c r="B127" t="s">
        <v>895</v>
      </c>
      <c r="C127" t="s">
        <v>353</v>
      </c>
      <c r="D127" t="s">
        <v>466</v>
      </c>
      <c r="E127" t="s">
        <v>881</v>
      </c>
      <c r="F127" t="s">
        <v>763</v>
      </c>
      <c r="G127" s="4">
        <v>25</v>
      </c>
      <c r="H127" s="3" t="s">
        <v>766</v>
      </c>
      <c r="I127" s="5">
        <v>45978.500243055554</v>
      </c>
      <c r="J127" s="5">
        <v>45978.500393518516</v>
      </c>
      <c r="K127" s="6">
        <v>1.5046296175569296E-4</v>
      </c>
    </row>
    <row r="128" spans="1:11" x14ac:dyDescent="0.3">
      <c r="A128" s="2">
        <v>700</v>
      </c>
      <c r="B128" t="s">
        <v>896</v>
      </c>
      <c r="C128" t="s">
        <v>353</v>
      </c>
      <c r="D128" t="s">
        <v>466</v>
      </c>
      <c r="E128" t="s">
        <v>881</v>
      </c>
      <c r="F128" t="s">
        <v>763</v>
      </c>
      <c r="G128" s="4">
        <v>25</v>
      </c>
      <c r="H128" s="3" t="s">
        <v>766</v>
      </c>
      <c r="I128" s="5">
        <v>45978.500543981485</v>
      </c>
      <c r="J128" s="5">
        <v>45978.500706018516</v>
      </c>
      <c r="K128" s="6">
        <v>1.6203703125938773E-4</v>
      </c>
    </row>
    <row r="129" spans="1:11" x14ac:dyDescent="0.3">
      <c r="A129" s="2">
        <v>701</v>
      </c>
      <c r="B129" t="s">
        <v>897</v>
      </c>
      <c r="C129" t="s">
        <v>353</v>
      </c>
      <c r="D129" t="s">
        <v>466</v>
      </c>
      <c r="E129" t="s">
        <v>382</v>
      </c>
      <c r="F129" t="s">
        <v>763</v>
      </c>
      <c r="G129" s="4">
        <v>25</v>
      </c>
      <c r="H129" s="3" t="s">
        <v>766</v>
      </c>
      <c r="I129" s="5">
        <v>45978.503645833334</v>
      </c>
      <c r="J129" s="5">
        <v>45978.504155092596</v>
      </c>
      <c r="K129" s="6">
        <v>5.092592618893832E-4</v>
      </c>
    </row>
    <row r="130" spans="1:11" x14ac:dyDescent="0.3">
      <c r="A130" s="2">
        <v>702</v>
      </c>
      <c r="B130" t="s">
        <v>898</v>
      </c>
      <c r="C130" t="s">
        <v>353</v>
      </c>
      <c r="D130" t="s">
        <v>466</v>
      </c>
      <c r="E130" t="s">
        <v>502</v>
      </c>
      <c r="F130" t="s">
        <v>763</v>
      </c>
      <c r="G130" s="4">
        <v>25</v>
      </c>
      <c r="H130" s="3" t="s">
        <v>766</v>
      </c>
      <c r="I130" s="5">
        <v>45978.52275462963</v>
      </c>
      <c r="J130" s="5">
        <v>45978.523101851853</v>
      </c>
      <c r="K130" s="6">
        <v>3.4722223062999547E-4</v>
      </c>
    </row>
    <row r="131" spans="1:11" x14ac:dyDescent="0.3">
      <c r="A131" s="2">
        <v>703</v>
      </c>
      <c r="B131" t="s">
        <v>899</v>
      </c>
      <c r="C131" t="s">
        <v>353</v>
      </c>
      <c r="D131" t="s">
        <v>466</v>
      </c>
      <c r="E131" t="s">
        <v>502</v>
      </c>
      <c r="F131" t="s">
        <v>763</v>
      </c>
      <c r="G131" s="4">
        <v>25</v>
      </c>
      <c r="H131" s="3" t="s">
        <v>766</v>
      </c>
      <c r="I131" s="5">
        <v>45978.525185185186</v>
      </c>
      <c r="J131" s="5">
        <v>45978.525405092594</v>
      </c>
      <c r="K131" s="6">
        <v>2.1990740788169205E-4</v>
      </c>
    </row>
    <row r="132" spans="1:11" x14ac:dyDescent="0.3">
      <c r="A132" s="2">
        <v>704</v>
      </c>
      <c r="B132" t="s">
        <v>900</v>
      </c>
      <c r="C132" t="s">
        <v>353</v>
      </c>
      <c r="D132" t="s">
        <v>466</v>
      </c>
      <c r="E132" t="s">
        <v>901</v>
      </c>
      <c r="F132" t="s">
        <v>763</v>
      </c>
      <c r="G132" s="4">
        <v>25</v>
      </c>
      <c r="H132" s="3" t="s">
        <v>766</v>
      </c>
      <c r="I132" s="5">
        <v>45978.525925925926</v>
      </c>
      <c r="J132" s="5">
        <v>45978.526192129626</v>
      </c>
      <c r="K132" s="6">
        <v>2.662037150003016E-4</v>
      </c>
    </row>
    <row r="133" spans="1:11" x14ac:dyDescent="0.3">
      <c r="A133" s="2">
        <v>705</v>
      </c>
      <c r="B133" t="s">
        <v>902</v>
      </c>
      <c r="C133" t="s">
        <v>353</v>
      </c>
      <c r="D133" t="s">
        <v>466</v>
      </c>
      <c r="E133" t="s">
        <v>26</v>
      </c>
      <c r="F133" t="s">
        <v>763</v>
      </c>
      <c r="G133" s="4">
        <v>25</v>
      </c>
      <c r="H133" s="3" t="s">
        <v>766</v>
      </c>
      <c r="I133" s="5">
        <v>45978.532789351855</v>
      </c>
      <c r="J133" s="5">
        <v>45978.533229166664</v>
      </c>
      <c r="K133" s="6">
        <v>4.2824074625968933E-4</v>
      </c>
    </row>
    <row r="134" spans="1:11" x14ac:dyDescent="0.3">
      <c r="A134" s="2">
        <v>706</v>
      </c>
      <c r="B134" t="s">
        <v>903</v>
      </c>
      <c r="C134" t="s">
        <v>353</v>
      </c>
      <c r="D134" t="s">
        <v>466</v>
      </c>
      <c r="E134" t="s">
        <v>502</v>
      </c>
      <c r="F134" t="s">
        <v>763</v>
      </c>
      <c r="G134" s="4">
        <v>25</v>
      </c>
      <c r="H134" s="3" t="s">
        <v>766</v>
      </c>
      <c r="I134" s="5">
        <v>45978.542557870373</v>
      </c>
      <c r="J134" s="5">
        <v>45978.543020833335</v>
      </c>
      <c r="K134" s="6">
        <v>4.6296295477077365E-4</v>
      </c>
    </row>
    <row r="135" spans="1:11" x14ac:dyDescent="0.3">
      <c r="A135" s="2">
        <v>707</v>
      </c>
      <c r="B135" t="s">
        <v>904</v>
      </c>
      <c r="C135" t="s">
        <v>353</v>
      </c>
      <c r="D135" t="s">
        <v>466</v>
      </c>
      <c r="E135" t="s">
        <v>390</v>
      </c>
      <c r="F135" t="s">
        <v>763</v>
      </c>
      <c r="G135" s="4">
        <v>25</v>
      </c>
      <c r="H135" s="3" t="s">
        <v>766</v>
      </c>
      <c r="I135" s="5">
        <v>45978.543437499997</v>
      </c>
      <c r="J135" s="5">
        <v>45978.543587962966</v>
      </c>
      <c r="K135" s="6">
        <v>1.3888889225199819E-4</v>
      </c>
    </row>
    <row r="136" spans="1:11" x14ac:dyDescent="0.3">
      <c r="B136" s="1" t="s">
        <v>42</v>
      </c>
      <c r="G136" s="10">
        <f>AVERAGE(G4:G135)</f>
        <v>25</v>
      </c>
      <c r="H136" s="10" t="e">
        <f>AVERAGE(H4:H135)</f>
        <v>#DIV/0!</v>
      </c>
    </row>
    <row r="137" spans="1:11" x14ac:dyDescent="0.3">
      <c r="B137" s="1" t="s">
        <v>43</v>
      </c>
      <c r="G137" s="10">
        <f>MIN(G4:G135)</f>
        <v>25</v>
      </c>
      <c r="H137" s="10">
        <f>MIN(H4:H135)</f>
        <v>0</v>
      </c>
    </row>
    <row r="138" spans="1:11" x14ac:dyDescent="0.3">
      <c r="B138" s="1" t="s">
        <v>44</v>
      </c>
      <c r="G138" s="10">
        <f>MAX(G4:G135)</f>
        <v>25</v>
      </c>
      <c r="H138" s="10">
        <f>MAX(H4:H135)</f>
        <v>0</v>
      </c>
    </row>
    <row r="139" spans="1:11" x14ac:dyDescent="0.3">
      <c r="B139" s="1" t="s">
        <v>45</v>
      </c>
      <c r="G139" s="10">
        <f>STDEV(G4:G135)</f>
        <v>0</v>
      </c>
      <c r="H139" s="10" t="e">
        <f>STDEV(H4:H135)</f>
        <v>#DIV/0!</v>
      </c>
    </row>
    <row r="141" spans="1:11" x14ac:dyDescent="0.3">
      <c r="B141" s="1" t="s">
        <v>46</v>
      </c>
      <c r="G141" s="10" t="s">
        <v>47</v>
      </c>
      <c r="H141" s="10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Avena</vt:lpstr>
      <vt:lpstr>Alfalfa</vt:lpstr>
      <vt:lpstr>Colza</vt:lpstr>
      <vt:lpstr>Cerdos</vt:lpstr>
      <vt:lpstr>Soja</vt:lpstr>
      <vt:lpstr>Maiz</vt:lpstr>
      <vt:lpstr>TrigoTriti</vt:lpstr>
      <vt:lpstr>Espectros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PROXIMATE</dc:creator>
  <cp:lastModifiedBy>Pairó Miquel</cp:lastModifiedBy>
  <dcterms:created xsi:type="dcterms:W3CDTF">2025-11-17T13:15:53Z</dcterms:created>
  <dcterms:modified xsi:type="dcterms:W3CDTF">2025-11-17T12:30:12Z</dcterms:modified>
</cp:coreProperties>
</file>