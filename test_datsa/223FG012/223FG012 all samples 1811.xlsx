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iro\OneDrive - BÜCHI Labortechnik AG\Desktop\BUNGE_Manteniment11112025\223FG012\"/>
    </mc:Choice>
  </mc:AlternateContent>
  <xr:revisionPtr revIDLastSave="0" documentId="8_{A2187431-38C5-426D-BA33-5996118FE6E5}" xr6:coauthVersionLast="47" xr6:coauthVersionMax="47" xr10:uidLastSave="{00000000-0000-0000-0000-000000000000}"/>
  <bookViews>
    <workbookView xWindow="-108" yWindow="-108" windowWidth="23256" windowHeight="12456" xr2:uid="{52AFF460-C890-466B-810E-4078F20B32E7}"/>
  </bookViews>
  <sheets>
    <sheet name="Espectros" sheetId="1" r:id="rId1"/>
    <sheet name="Maiz" sheetId="2" r:id="rId2"/>
    <sheet name="Soja" sheetId="3" r:id="rId3"/>
    <sheet name="Colza" sheetId="4" r:id="rId4"/>
    <sheet name="Cerdos" sheetId="5" r:id="rId5"/>
    <sheet name="TrigoTriti" sheetId="6" r:id="rId6"/>
  </sheets>
  <definedNames>
    <definedName name="_xlnm._FilterDatabase" localSheetId="4" hidden="1">Cerdos!$A$3:$Z$25</definedName>
    <definedName name="_xlnm._FilterDatabase" localSheetId="3" hidden="1">Colza!$A$3:$V$26</definedName>
    <definedName name="_xlnm._FilterDatabase" localSheetId="1" hidden="1">Maiz!$A$3:$X$25</definedName>
    <definedName name="_xlnm._FilterDatabase" localSheetId="2" hidden="1">Soja!$A$3:$T$25</definedName>
    <definedName name="_xlnm._FilterDatabase" localSheetId="5" hidden="1">TrigoTriti!$A$3:$V$26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6" l="1"/>
  <c r="R26" i="6"/>
  <c r="Q26" i="6"/>
  <c r="P26" i="6"/>
  <c r="O26" i="6"/>
  <c r="N26" i="6"/>
  <c r="M26" i="6"/>
  <c r="L26" i="6"/>
  <c r="K26" i="6"/>
  <c r="J26" i="6"/>
  <c r="I26" i="6"/>
  <c r="H26" i="6"/>
  <c r="G26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Q25" i="3"/>
  <c r="P25" i="3"/>
  <c r="O25" i="3"/>
  <c r="N25" i="3"/>
  <c r="M25" i="3"/>
  <c r="L25" i="3"/>
  <c r="K25" i="3"/>
  <c r="J25" i="3"/>
  <c r="I25" i="3"/>
  <c r="H25" i="3"/>
  <c r="G25" i="3"/>
  <c r="Q24" i="3"/>
  <c r="P24" i="3"/>
  <c r="O24" i="3"/>
  <c r="N24" i="3"/>
  <c r="M24" i="3"/>
  <c r="L24" i="3"/>
  <c r="K24" i="3"/>
  <c r="J24" i="3"/>
  <c r="I24" i="3"/>
  <c r="H24" i="3"/>
  <c r="G24" i="3"/>
  <c r="Q23" i="3"/>
  <c r="P23" i="3"/>
  <c r="O23" i="3"/>
  <c r="N23" i="3"/>
  <c r="M23" i="3"/>
  <c r="L23" i="3"/>
  <c r="K23" i="3"/>
  <c r="J23" i="3"/>
  <c r="I23" i="3"/>
  <c r="H23" i="3"/>
  <c r="G23" i="3"/>
  <c r="Q22" i="3"/>
  <c r="P22" i="3"/>
  <c r="O22" i="3"/>
  <c r="N22" i="3"/>
  <c r="M22" i="3"/>
  <c r="L22" i="3"/>
  <c r="K22" i="3"/>
  <c r="J22" i="3"/>
  <c r="I22" i="3"/>
  <c r="H22" i="3"/>
  <c r="G22" i="3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H17" i="1"/>
  <c r="G17" i="1"/>
  <c r="H16" i="1"/>
  <c r="G16" i="1"/>
  <c r="H15" i="1"/>
  <c r="G15" i="1"/>
  <c r="H14" i="1"/>
  <c r="G14" i="1"/>
</calcChain>
</file>

<file path=xl/sharedStrings.xml><?xml version="1.0" encoding="utf-8"?>
<sst xmlns="http://schemas.openxmlformats.org/spreadsheetml/2006/main" count="787" uniqueCount="168">
  <si>
    <t>dimarts, 18 novembre de 2025 ... dimarts, 18 novembre de 2025</t>
  </si>
  <si>
    <t>#</t>
  </si>
  <si>
    <t>Espectros</t>
  </si>
  <si>
    <t>Unit</t>
  </si>
  <si>
    <t>ID</t>
  </si>
  <si>
    <t>Note</t>
  </si>
  <si>
    <t>Product</t>
  </si>
  <si>
    <t>Speed</t>
  </si>
  <si>
    <t>Espectro</t>
  </si>
  <si>
    <t>Begin</t>
  </si>
  <si>
    <t>End</t>
  </si>
  <si>
    <t>Length</t>
  </si>
  <si>
    <t>#2025-11-18 10:21:55 223FG012</t>
  </si>
  <si>
    <t>223FG012</t>
  </si>
  <si>
    <t>WHITE</t>
  </si>
  <si>
    <t>L1 - LB</t>
  </si>
  <si>
    <t>-.---</t>
  </si>
  <si>
    <t>#2025-11-18 10:40:26 223FG012</t>
  </si>
  <si>
    <t>L1 - NBL</t>
  </si>
  <si>
    <t>#2025-11-18 15:47:25 223FG012</t>
  </si>
  <si>
    <t>L1 APM - NBL</t>
  </si>
  <si>
    <t>#2025-11-18 15:50:44 223FG012</t>
  </si>
  <si>
    <t>L1 APM - LB</t>
  </si>
  <si>
    <t>#2025-11-18 15:51:07 223FG012</t>
  </si>
  <si>
    <t>#2025-11-18 16:07:37 223FG012</t>
  </si>
  <si>
    <t>L1 APM - LBF</t>
  </si>
  <si>
    <t>#2025-11-18 16:22:14 223FG012</t>
  </si>
  <si>
    <t>L2 APM - NB</t>
  </si>
  <si>
    <t>#2025-11-18 16:23:48 223FG012</t>
  </si>
  <si>
    <t>L2 APM - LB</t>
  </si>
  <si>
    <t>#2025-11-18 16:24:10 223FG012</t>
  </si>
  <si>
    <t>#2025-11-18 16:52:41 223FG012</t>
  </si>
  <si>
    <t xml:space="preserve">WHITE </t>
  </si>
  <si>
    <t>L1 APM - LBAD</t>
  </si>
  <si>
    <t>Average</t>
  </si>
  <si>
    <t>Min</t>
  </si>
  <si>
    <t>Max</t>
  </si>
  <si>
    <t>Std.Dev.</t>
  </si>
  <si>
    <t>Target</t>
  </si>
  <si>
    <t>0</t>
  </si>
  <si>
    <t>Maiz</t>
  </si>
  <si>
    <t>H</t>
  </si>
  <si>
    <t>PB</t>
  </si>
  <si>
    <t>GB</t>
  </si>
  <si>
    <t>FB</t>
  </si>
  <si>
    <t>Cz</t>
  </si>
  <si>
    <t>ALM</t>
  </si>
  <si>
    <t>Aw</t>
  </si>
  <si>
    <t>MahalanobisH</t>
  </si>
  <si>
    <t>MahalanobisPB</t>
  </si>
  <si>
    <t>MahalanobisGB</t>
  </si>
  <si>
    <t>MahalanobisFB</t>
  </si>
  <si>
    <t>MahalanobisCz</t>
  </si>
  <si>
    <t>MahalanobisALM</t>
  </si>
  <si>
    <t>MahalanobisAw</t>
  </si>
  <si>
    <t>#2025-11-18 10:24:02 223FG012</t>
  </si>
  <si>
    <t>MAIZ</t>
  </si>
  <si>
    <t>#2025-11-18 10:24:27 223FG012</t>
  </si>
  <si>
    <t>#2025-11-18 10:24:46 223FG012</t>
  </si>
  <si>
    <t>#2025-11-18 10:42:18 223FG012</t>
  </si>
  <si>
    <t>&gt;20.0</t>
  </si>
  <si>
    <t>#2025-11-18 10:42:58 223FG012</t>
  </si>
  <si>
    <t>#2025-11-18 10:43:19 223FG012</t>
  </si>
  <si>
    <t>#2025-11-18 15:59:48 223FG012</t>
  </si>
  <si>
    <t>#2025-11-18 16:00:22 223FG012</t>
  </si>
  <si>
    <t>#2025-11-18 16:00:43 223FG012</t>
  </si>
  <si>
    <t>#2025-11-18 16:10:02 223FG012</t>
  </si>
  <si>
    <t>#2025-11-18 16:10:28 223FG012</t>
  </si>
  <si>
    <t>#2025-11-18 16:10:55 223FG012</t>
  </si>
  <si>
    <t>#2025-11-18 16:31:40 223FG012</t>
  </si>
  <si>
    <t>#2025-11-18 16:32:12 223FG012</t>
  </si>
  <si>
    <t>#2025-11-18 16:32:39 223FG012</t>
  </si>
  <si>
    <t>#2025-11-18 16:56:33 223FG012</t>
  </si>
  <si>
    <t>#2025-11-18 16:57:03 223FG012</t>
  </si>
  <si>
    <t>#2025-11-18 16:57:33 223FG012</t>
  </si>
  <si>
    <t>Soja</t>
  </si>
  <si>
    <t>Grasa bruta</t>
  </si>
  <si>
    <t>MahalanobisGrasa</t>
  </si>
  <si>
    <t>#2025-11-18 10:31:39 223FG012</t>
  </si>
  <si>
    <t>SOJA</t>
  </si>
  <si>
    <t>#2025-11-18 10:32:08 223FG012</t>
  </si>
  <si>
    <t>#2025-11-18 10:32:25 223FG012</t>
  </si>
  <si>
    <t>L1 -LB</t>
  </si>
  <si>
    <t>#2025-11-18 10:44:53 223FG012</t>
  </si>
  <si>
    <t>#2025-11-18 10:45:20 223FG012</t>
  </si>
  <si>
    <t>#2025-11-18 10:45:41 223FG012</t>
  </si>
  <si>
    <t>#2025-11-18 15:56:58 223FG012</t>
  </si>
  <si>
    <t>#2025-11-18 15:57:29 223FG012</t>
  </si>
  <si>
    <t>#2025-11-18 15:57:56 223FG012</t>
  </si>
  <si>
    <t>#2025-11-18 16:15:01 223FG012</t>
  </si>
  <si>
    <t>#2025-11-18 16:15:43 223FG012</t>
  </si>
  <si>
    <t>#2025-11-18 16:16:14 223FG012</t>
  </si>
  <si>
    <t>#2025-11-18 16:27:56 223FG012</t>
  </si>
  <si>
    <t>#2025-11-18 16:28:37 223FG012</t>
  </si>
  <si>
    <t>#2025-11-18 16:29:18 223FG012</t>
  </si>
  <si>
    <t>#2025-11-18 16:55:06 223FG012</t>
  </si>
  <si>
    <t>#2025-11-18 16:55:28 223FG012</t>
  </si>
  <si>
    <t>#2025-11-18 16:55:51 223FG012</t>
  </si>
  <si>
    <t>Colza</t>
  </si>
  <si>
    <t>Grasa total</t>
  </si>
  <si>
    <t>MahalanobisGT</t>
  </si>
  <si>
    <t>#2025-11-18 10:33:02 223FG012</t>
  </si>
  <si>
    <t>COLZA</t>
  </si>
  <si>
    <t>#2025-11-18 10:33:25 223FG012</t>
  </si>
  <si>
    <t>#2025-11-18 10:33:45 223FG012</t>
  </si>
  <si>
    <t>#2025-11-18 10:41:02 223FG012</t>
  </si>
  <si>
    <t>#2025-11-18 10:41:29 223FG012</t>
  </si>
  <si>
    <t>#2025-11-18 10:41:52 223FG012</t>
  </si>
  <si>
    <t>#2025-11-18 15:52:53 223FG012</t>
  </si>
  <si>
    <t>#2025-11-18 15:53:34 223FG012</t>
  </si>
  <si>
    <t>#2025-11-18 15:54:17 223FG012</t>
  </si>
  <si>
    <t>#2025-11-18 15:54:48 223FG012</t>
  </si>
  <si>
    <t>#2025-11-18 16:17:13 223FG012</t>
  </si>
  <si>
    <t>#2025-11-18 16:17:45 223FG012</t>
  </si>
  <si>
    <t>#2025-11-18 16:18:04 223FG012</t>
  </si>
  <si>
    <t>#2025-11-18 16:26:29 223FG012</t>
  </si>
  <si>
    <t>#2025-11-18 16:27:07 223FG012</t>
  </si>
  <si>
    <t>#2025-11-18 16:27:30 223FG012</t>
  </si>
  <si>
    <t>#2025-11-18 17:00:36 223FG012</t>
  </si>
  <si>
    <t>#2025-11-18 17:00:57 223FG012</t>
  </si>
  <si>
    <t>#2025-11-18 17:01:18 223FG012</t>
  </si>
  <si>
    <t>Cerdos</t>
  </si>
  <si>
    <t>Fosforo</t>
  </si>
  <si>
    <t>Calcio</t>
  </si>
  <si>
    <t>MahalanobisP</t>
  </si>
  <si>
    <t>MahalanobisCa</t>
  </si>
  <si>
    <t>#2025-11-18 10:34:16 223FG012</t>
  </si>
  <si>
    <t>PIENSO</t>
  </si>
  <si>
    <t>#2025-11-18 10:34:48 223FG012</t>
  </si>
  <si>
    <t>#2025-11-18 10:35:12 223FG012</t>
  </si>
  <si>
    <t>#2025-11-18 10:46:08 223FG012</t>
  </si>
  <si>
    <t>#2025-11-18 10:46:42 223FG012</t>
  </si>
  <si>
    <t>#2025-11-18 10:47:08 223FG012</t>
  </si>
  <si>
    <t>#2025-11-18 15:55:10 223FG012</t>
  </si>
  <si>
    <t>#2025-11-18 15:56:09 223FG012</t>
  </si>
  <si>
    <t>#2025-11-18 15:56:33 223FG012</t>
  </si>
  <si>
    <t>#2025-11-18 16:12:17 223FG012</t>
  </si>
  <si>
    <t>#2025-11-18 16:12:47 223FG012</t>
  </si>
  <si>
    <t>#2025-11-18 16:13:56 223FG012</t>
  </si>
  <si>
    <t>#2025-11-18 16:33:22 223FG012</t>
  </si>
  <si>
    <t>#2025-11-18 16:33:54 223FG012</t>
  </si>
  <si>
    <t>#2025-11-18 16:34:14 223FG012</t>
  </si>
  <si>
    <t>#2025-11-18 16:53:34 223FG012</t>
  </si>
  <si>
    <t>#2025-11-18 16:54:13 223FG012</t>
  </si>
  <si>
    <t>#2025-11-18 16:54:44 223FG012</t>
  </si>
  <si>
    <t>TrigoTriti</t>
  </si>
  <si>
    <t>#2025-11-18 10:35:39 223FG012</t>
  </si>
  <si>
    <t>TRIGO</t>
  </si>
  <si>
    <t>&gt;13.2</t>
  </si>
  <si>
    <t>&gt;11.5</t>
  </si>
  <si>
    <t>#2025-11-18 10:36:07 223FG012</t>
  </si>
  <si>
    <t>#2025-11-18 10:36:27 223FG012</t>
  </si>
  <si>
    <t>#2025-11-18 10:37:01 223FG012</t>
  </si>
  <si>
    <t>#2025-11-18 10:43:46 223FG012</t>
  </si>
  <si>
    <t>#2025-11-18 10:44:11 223FG012</t>
  </si>
  <si>
    <t>#2025-11-18 10:44:32 223FG012</t>
  </si>
  <si>
    <t>#2025-11-18 15:58:27 223FG012</t>
  </si>
  <si>
    <t>#2025-11-18 15:58:52 223FG012</t>
  </si>
  <si>
    <t>#2025-11-18 15:59:16 223FG012</t>
  </si>
  <si>
    <t>#2025-11-18 16:18:35 223FG012</t>
  </si>
  <si>
    <t>#2025-11-18 16:19:11 223FG012</t>
  </si>
  <si>
    <t>#2025-11-18 16:19:34 223FG012</t>
  </si>
  <si>
    <t>#2025-11-18 16:24:46 223FG012</t>
  </si>
  <si>
    <t>#2025-11-18 16:25:17 223FG012</t>
  </si>
  <si>
    <t>#2025-11-18 16:25:56 223FG012</t>
  </si>
  <si>
    <t>#2025-11-18 16:58:59 223FG012</t>
  </si>
  <si>
    <t>#2025-11-18 16:59:26 223FG012</t>
  </si>
  <si>
    <t>#2025-11-18 16:59:47 223FG012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</si>
</sst>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dd/mm/yyyy\ hh:mm:ss"/>
    <numFmt numFmtId="169" formatCode="hh:mm:ss"/>
    <numFmt numFmtId="170" formatCode="0.000"/>
    <numFmt numFmtId="171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</font>
    <font>
      <b/>
      <sz val="10"/>
      <name val="Arial"/>
    </font>
    <font>
      <b/>
      <i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/>
    <xf numFmtId="0" fontId="19" fillId="0" borderId="10" xfId="0" applyNumberFormat="1" applyFont="1" applyFill="1" applyBorder="1" applyAlignment="1" applyProtection="1">
      <alignment horizontal="center"/>
    </xf>
    <xf numFmtId="170" fontId="0" fillId="0" borderId="0" xfId="0" applyNumberFormat="1" applyFont="1" applyFill="1" applyBorder="1" applyAlignment="1" applyProtection="1"/>
    <xf numFmtId="0" fontId="20" fillId="0" borderId="0" xfId="0" applyNumberFormat="1" applyFont="1" applyFill="1" applyBorder="1" applyAlignment="1" applyProtection="1">
      <alignment horizontal="center"/>
    </xf>
    <xf numFmtId="168" fontId="0" fillId="0" borderId="0" xfId="0" applyNumberFormat="1" applyFont="1" applyFill="1" applyBorder="1" applyAlignment="1" applyProtection="1"/>
    <xf numFmtId="169" fontId="0" fillId="0" borderId="0" xfId="0" applyNumberFormat="1" applyFont="1" applyFill="1" applyBorder="1" applyAlignment="1" applyProtection="1"/>
    <xf numFmtId="170" fontId="18" fillId="0" borderId="11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71" fontId="18" fillId="0" borderId="11" xfId="0" applyNumberFormat="1" applyFont="1" applyFill="1" applyBorder="1" applyAlignment="1" applyProtection="1"/>
    <xf numFmtId="2" fontId="18" fillId="0" borderId="11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B816-EF30-441F-9FD5-AEA76F3793E7}">
  <dimension ref="A1:K19"/>
  <sheetViews>
    <sheetView tabSelected="1" workbookViewId="0">
      <selection activeCell="E4" sqref="E4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5" max="5" width="13.77734375" customWidth="1"/>
    <col min="7" max="8" width="11.6640625" bestFit="1" customWidth="1"/>
    <col min="9" max="10" width="17.88671875" bestFit="1" customWidth="1"/>
    <col min="11" max="11" width="11.6640625" bestFit="1" customWidth="1"/>
  </cols>
  <sheetData>
    <row r="1" spans="1:11" s="1" customFormat="1" ht="13.8" x14ac:dyDescent="0.25">
      <c r="A1" s="1" t="s">
        <v>0</v>
      </c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3">
      <c r="A4" s="2">
        <v>1</v>
      </c>
      <c r="B4" t="s">
        <v>12</v>
      </c>
      <c r="C4" t="s">
        <v>13</v>
      </c>
      <c r="D4" t="s">
        <v>14</v>
      </c>
      <c r="E4" t="s">
        <v>15</v>
      </c>
      <c r="F4" t="s">
        <v>2</v>
      </c>
      <c r="G4" s="3">
        <v>25</v>
      </c>
      <c r="H4" s="4" t="s">
        <v>16</v>
      </c>
      <c r="I4" s="5">
        <v>45979.431886574072</v>
      </c>
      <c r="J4" s="5">
        <v>45979.432638888888</v>
      </c>
      <c r="K4" s="6">
        <v>7.5231480877846479E-4</v>
      </c>
    </row>
    <row r="5" spans="1:11" x14ac:dyDescent="0.3">
      <c r="A5" s="2">
        <v>2</v>
      </c>
      <c r="B5" t="s">
        <v>17</v>
      </c>
      <c r="C5" t="s">
        <v>13</v>
      </c>
      <c r="D5" t="s">
        <v>14</v>
      </c>
      <c r="E5" t="s">
        <v>18</v>
      </c>
      <c r="F5" t="s">
        <v>2</v>
      </c>
      <c r="G5" s="3">
        <v>25</v>
      </c>
      <c r="H5" s="4" t="s">
        <v>16</v>
      </c>
      <c r="I5" s="5">
        <v>45979.444745370369</v>
      </c>
      <c r="J5" s="5">
        <v>45979.44494212963</v>
      </c>
      <c r="K5" s="6">
        <v>1.9675926887430251E-4</v>
      </c>
    </row>
    <row r="6" spans="1:11" x14ac:dyDescent="0.3">
      <c r="A6" s="2">
        <v>3</v>
      </c>
      <c r="B6" t="s">
        <v>19</v>
      </c>
      <c r="C6" t="s">
        <v>13</v>
      </c>
      <c r="D6" t="s">
        <v>14</v>
      </c>
      <c r="E6" t="s">
        <v>20</v>
      </c>
      <c r="F6" t="s">
        <v>2</v>
      </c>
      <c r="G6" s="3">
        <v>25</v>
      </c>
      <c r="H6" s="4" t="s">
        <v>16</v>
      </c>
      <c r="I6" s="5">
        <v>45979.65792824074</v>
      </c>
      <c r="J6" s="5">
        <v>45979.660127314812</v>
      </c>
      <c r="K6" s="6">
        <v>2.1990740788169205E-3</v>
      </c>
    </row>
    <row r="7" spans="1:11" x14ac:dyDescent="0.3">
      <c r="A7" s="2">
        <v>4</v>
      </c>
      <c r="B7" t="s">
        <v>21</v>
      </c>
      <c r="C7" t="s">
        <v>13</v>
      </c>
      <c r="D7" t="s">
        <v>14</v>
      </c>
      <c r="E7" t="s">
        <v>22</v>
      </c>
      <c r="F7" t="s">
        <v>2</v>
      </c>
      <c r="G7" s="3">
        <v>25</v>
      </c>
      <c r="H7" s="4" t="s">
        <v>16</v>
      </c>
      <c r="I7" s="5">
        <v>45979.660231481481</v>
      </c>
      <c r="J7" s="5">
        <v>45979.660393518519</v>
      </c>
      <c r="K7" s="6">
        <v>1.6203703125938773E-4</v>
      </c>
    </row>
    <row r="8" spans="1:11" x14ac:dyDescent="0.3">
      <c r="A8" s="2">
        <v>5</v>
      </c>
      <c r="B8" t="s">
        <v>23</v>
      </c>
      <c r="C8" t="s">
        <v>13</v>
      </c>
      <c r="D8" t="s">
        <v>14</v>
      </c>
      <c r="E8" t="s">
        <v>22</v>
      </c>
      <c r="F8" t="s">
        <v>2</v>
      </c>
      <c r="G8" s="3">
        <v>25</v>
      </c>
      <c r="H8" s="4" t="s">
        <v>16</v>
      </c>
      <c r="I8" s="5">
        <v>45979.660497685189</v>
      </c>
      <c r="J8" s="5">
        <v>45979.660613425927</v>
      </c>
      <c r="K8" s="6">
        <v>1.1574075324460864E-4</v>
      </c>
    </row>
    <row r="9" spans="1:11" x14ac:dyDescent="0.3">
      <c r="A9" s="2">
        <v>6</v>
      </c>
      <c r="B9" t="s">
        <v>24</v>
      </c>
      <c r="C9" t="s">
        <v>13</v>
      </c>
      <c r="D9" t="s">
        <v>14</v>
      </c>
      <c r="E9" t="s">
        <v>25</v>
      </c>
      <c r="F9" t="s">
        <v>2</v>
      </c>
      <c r="G9" s="3">
        <v>25</v>
      </c>
      <c r="H9" s="4" t="s">
        <v>16</v>
      </c>
      <c r="I9" s="5">
        <v>45979.671956018516</v>
      </c>
      <c r="J9" s="5">
        <v>45979.672314814816</v>
      </c>
      <c r="K9" s="6">
        <v>3.5879630013369024E-4</v>
      </c>
    </row>
    <row r="10" spans="1:11" x14ac:dyDescent="0.3">
      <c r="A10" s="2">
        <v>7</v>
      </c>
      <c r="B10" t="s">
        <v>26</v>
      </c>
      <c r="C10" t="s">
        <v>13</v>
      </c>
      <c r="D10" t="s">
        <v>14</v>
      </c>
      <c r="E10" t="s">
        <v>27</v>
      </c>
      <c r="F10" t="s">
        <v>2</v>
      </c>
      <c r="G10" s="3">
        <v>25</v>
      </c>
      <c r="H10" s="4" t="s">
        <v>16</v>
      </c>
      <c r="I10" s="5">
        <v>45979.682106481479</v>
      </c>
      <c r="J10" s="5">
        <v>45979.682303240741</v>
      </c>
      <c r="K10" s="6">
        <v>1.9675926887430251E-4</v>
      </c>
    </row>
    <row r="11" spans="1:11" x14ac:dyDescent="0.3">
      <c r="A11" s="2">
        <v>8</v>
      </c>
      <c r="B11" t="s">
        <v>28</v>
      </c>
      <c r="C11" t="s">
        <v>13</v>
      </c>
      <c r="D11" t="s">
        <v>14</v>
      </c>
      <c r="E11" t="s">
        <v>29</v>
      </c>
      <c r="F11" t="s">
        <v>2</v>
      </c>
      <c r="G11" s="3">
        <v>25</v>
      </c>
      <c r="H11" s="4" t="s">
        <v>16</v>
      </c>
      <c r="I11" s="5">
        <v>45979.683194444442</v>
      </c>
      <c r="J11" s="5">
        <v>45979.683344907404</v>
      </c>
      <c r="K11" s="6">
        <v>1.6203703125938773E-4</v>
      </c>
    </row>
    <row r="12" spans="1:11" x14ac:dyDescent="0.3">
      <c r="A12" s="2">
        <v>9</v>
      </c>
      <c r="B12" t="s">
        <v>30</v>
      </c>
      <c r="C12" t="s">
        <v>13</v>
      </c>
      <c r="D12" t="s">
        <v>14</v>
      </c>
      <c r="E12" t="s">
        <v>29</v>
      </c>
      <c r="F12" t="s">
        <v>2</v>
      </c>
      <c r="G12" s="3">
        <v>25</v>
      </c>
      <c r="H12" s="4" t="s">
        <v>16</v>
      </c>
      <c r="I12" s="5">
        <v>45979.683449074073</v>
      </c>
      <c r="J12" s="5">
        <v>45979.683611111112</v>
      </c>
      <c r="K12" s="6">
        <v>1.6203703125938773E-4</v>
      </c>
    </row>
    <row r="13" spans="1:11" x14ac:dyDescent="0.3">
      <c r="A13" s="2">
        <v>10</v>
      </c>
      <c r="B13" t="s">
        <v>31</v>
      </c>
      <c r="C13" t="s">
        <v>13</v>
      </c>
      <c r="D13" t="s">
        <v>32</v>
      </c>
      <c r="E13" t="s">
        <v>33</v>
      </c>
      <c r="F13" t="s">
        <v>2</v>
      </c>
      <c r="G13" s="3">
        <v>25</v>
      </c>
      <c r="H13" s="4" t="s">
        <v>16</v>
      </c>
      <c r="I13" s="5">
        <v>45979.703252314815</v>
      </c>
      <c r="J13" s="5">
        <v>45979.703611111108</v>
      </c>
      <c r="K13" s="6">
        <v>3.5879630013369024E-4</v>
      </c>
    </row>
    <row r="14" spans="1:11" x14ac:dyDescent="0.3">
      <c r="B14" s="1" t="s">
        <v>34</v>
      </c>
      <c r="G14" s="7">
        <f>AVERAGE(G4:G13)</f>
        <v>25</v>
      </c>
      <c r="H14" s="7" t="e">
        <f>AVERAGE(H4:H13)</f>
        <v>#DIV/0!</v>
      </c>
    </row>
    <row r="15" spans="1:11" x14ac:dyDescent="0.3">
      <c r="B15" s="1" t="s">
        <v>35</v>
      </c>
      <c r="G15" s="7">
        <f>MIN(G4:G13)</f>
        <v>25</v>
      </c>
      <c r="H15" s="7">
        <f>MIN(H4:H13)</f>
        <v>0</v>
      </c>
    </row>
    <row r="16" spans="1:11" x14ac:dyDescent="0.3">
      <c r="B16" s="1" t="s">
        <v>36</v>
      </c>
      <c r="G16" s="7">
        <f>MAX(G4:G13)</f>
        <v>25</v>
      </c>
      <c r="H16" s="7">
        <f>MAX(H4:H13)</f>
        <v>0</v>
      </c>
    </row>
    <row r="17" spans="2:8" x14ac:dyDescent="0.3">
      <c r="B17" s="1" t="s">
        <v>37</v>
      </c>
      <c r="G17" s="7">
        <f>STDEV(G4:G13)</f>
        <v>0</v>
      </c>
      <c r="H17" s="7" t="e">
        <f>STDEV(H4:H13)</f>
        <v>#DIV/0!</v>
      </c>
    </row>
    <row r="19" spans="2:8" x14ac:dyDescent="0.3">
      <c r="B19" s="1" t="s">
        <v>38</v>
      </c>
      <c r="G19" s="7" t="s">
        <v>39</v>
      </c>
      <c r="H19" s="7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BD95-D04B-4277-A65E-727809686975}">
  <sheetPr filterMode="1"/>
  <dimension ref="A1:X27"/>
  <sheetViews>
    <sheetView topLeftCell="B1" workbookViewId="0">
      <selection activeCell="G7" sqref="G7:G15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5" max="5" width="12.5546875" customWidth="1"/>
    <col min="7" max="21" width="11.6640625" bestFit="1" customWidth="1"/>
    <col min="22" max="23" width="17.88671875" bestFit="1" customWidth="1"/>
    <col min="24" max="24" width="11.6640625" bestFit="1" customWidth="1"/>
  </cols>
  <sheetData>
    <row r="1" spans="1:24" s="1" customFormat="1" ht="13.8" x14ac:dyDescent="0.25">
      <c r="A1" s="1" t="s">
        <v>0</v>
      </c>
    </row>
    <row r="3" spans="1:24" x14ac:dyDescent="0.3">
      <c r="A3" s="2" t="s">
        <v>1</v>
      </c>
      <c r="B3" s="2" t="s">
        <v>40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7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  <c r="U3" s="2" t="s">
        <v>54</v>
      </c>
      <c r="V3" s="2" t="s">
        <v>9</v>
      </c>
      <c r="W3" s="2" t="s">
        <v>10</v>
      </c>
      <c r="X3" s="2" t="s">
        <v>11</v>
      </c>
    </row>
    <row r="4" spans="1:24" hidden="1" x14ac:dyDescent="0.3">
      <c r="A4" s="2">
        <v>11</v>
      </c>
      <c r="B4" t="s">
        <v>55</v>
      </c>
      <c r="C4" t="s">
        <v>13</v>
      </c>
      <c r="D4" t="s">
        <v>56</v>
      </c>
      <c r="E4" t="s">
        <v>15</v>
      </c>
      <c r="F4" t="s">
        <v>40</v>
      </c>
      <c r="G4" s="8">
        <v>13.9</v>
      </c>
      <c r="H4" s="8">
        <v>6.3</v>
      </c>
      <c r="I4" s="8">
        <v>4.3</v>
      </c>
      <c r="J4" s="8">
        <v>2.6</v>
      </c>
      <c r="K4" s="9">
        <v>0.84</v>
      </c>
      <c r="L4" s="8">
        <v>67.8</v>
      </c>
      <c r="M4" s="3">
        <v>0.64100000000000001</v>
      </c>
      <c r="N4" s="3">
        <v>25</v>
      </c>
      <c r="O4" s="8">
        <v>12.6</v>
      </c>
      <c r="P4" s="8">
        <v>16.399999999999999</v>
      </c>
      <c r="Q4" s="8">
        <v>18.899999999999999</v>
      </c>
      <c r="R4" s="8">
        <v>9.1</v>
      </c>
      <c r="S4" s="8">
        <v>18.600000000000001</v>
      </c>
      <c r="T4" s="8">
        <v>5.6</v>
      </c>
      <c r="U4" s="8">
        <v>0.6</v>
      </c>
      <c r="V4" s="5">
        <v>45979.433356481481</v>
      </c>
      <c r="W4" s="5">
        <v>45979.433506944442</v>
      </c>
      <c r="X4" s="6">
        <v>1.5046296175569296E-4</v>
      </c>
    </row>
    <row r="5" spans="1:24" hidden="1" x14ac:dyDescent="0.3">
      <c r="A5" s="2">
        <v>12</v>
      </c>
      <c r="B5" t="s">
        <v>57</v>
      </c>
      <c r="C5" t="s">
        <v>13</v>
      </c>
      <c r="D5" t="s">
        <v>56</v>
      </c>
      <c r="E5" t="s">
        <v>15</v>
      </c>
      <c r="F5" t="s">
        <v>40</v>
      </c>
      <c r="G5" s="8">
        <v>13.8</v>
      </c>
      <c r="H5" s="8">
        <v>6</v>
      </c>
      <c r="I5" s="8">
        <v>3.7</v>
      </c>
      <c r="J5" s="8">
        <v>2.4</v>
      </c>
      <c r="K5" s="9">
        <v>0.82</v>
      </c>
      <c r="L5" s="8">
        <v>68</v>
      </c>
      <c r="M5" s="3">
        <v>0.67200000000000004</v>
      </c>
      <c r="N5" s="3">
        <v>25</v>
      </c>
      <c r="O5" s="8">
        <v>6.2</v>
      </c>
      <c r="P5" s="8">
        <v>9.3000000000000007</v>
      </c>
      <c r="Q5" s="8">
        <v>9.5</v>
      </c>
      <c r="R5" s="8">
        <v>3.7</v>
      </c>
      <c r="S5" s="8">
        <v>11.1</v>
      </c>
      <c r="T5" s="8">
        <v>5.8</v>
      </c>
      <c r="U5" s="8">
        <v>0.7</v>
      </c>
      <c r="V5" s="5">
        <v>45979.433645833335</v>
      </c>
      <c r="W5" s="5">
        <v>45979.433761574073</v>
      </c>
      <c r="X5" s="6">
        <v>1.2731482274830341E-4</v>
      </c>
    </row>
    <row r="6" spans="1:24" hidden="1" x14ac:dyDescent="0.3">
      <c r="A6" s="2">
        <v>13</v>
      </c>
      <c r="B6" t="s">
        <v>58</v>
      </c>
      <c r="C6" t="s">
        <v>13</v>
      </c>
      <c r="D6" t="s">
        <v>56</v>
      </c>
      <c r="E6" t="s">
        <v>15</v>
      </c>
      <c r="F6" t="s">
        <v>40</v>
      </c>
      <c r="G6" s="8">
        <v>13.9</v>
      </c>
      <c r="H6" s="8">
        <v>6.3</v>
      </c>
      <c r="I6" s="8">
        <v>3.6</v>
      </c>
      <c r="J6" s="8">
        <v>2.4</v>
      </c>
      <c r="K6" s="9">
        <v>0.78</v>
      </c>
      <c r="L6" s="8">
        <v>69.400000000000006</v>
      </c>
      <c r="M6" s="3">
        <v>0.68300000000000005</v>
      </c>
      <c r="N6" s="3">
        <v>25</v>
      </c>
      <c r="O6" s="8">
        <v>8.5</v>
      </c>
      <c r="P6" s="8">
        <v>14.3</v>
      </c>
      <c r="Q6" s="8">
        <v>14.2</v>
      </c>
      <c r="R6" s="8">
        <v>6.5</v>
      </c>
      <c r="S6" s="8">
        <v>15.1</v>
      </c>
      <c r="T6" s="8">
        <v>12.5</v>
      </c>
      <c r="U6" s="8">
        <v>0.2</v>
      </c>
      <c r="V6" s="5">
        <v>45979.433865740742</v>
      </c>
      <c r="W6" s="5">
        <v>45979.433981481481</v>
      </c>
      <c r="X6" s="6">
        <v>1.1574075324460864E-4</v>
      </c>
    </row>
    <row r="7" spans="1:24" x14ac:dyDescent="0.3">
      <c r="A7" s="2">
        <v>14</v>
      </c>
      <c r="B7" t="s">
        <v>59</v>
      </c>
      <c r="C7" t="s">
        <v>13</v>
      </c>
      <c r="D7" t="s">
        <v>56</v>
      </c>
      <c r="E7" t="s">
        <v>18</v>
      </c>
      <c r="F7" t="s">
        <v>40</v>
      </c>
      <c r="G7" s="8">
        <v>14.2</v>
      </c>
      <c r="H7" s="8">
        <v>6</v>
      </c>
      <c r="I7" s="8">
        <v>3.4</v>
      </c>
      <c r="J7" s="8">
        <v>2.5</v>
      </c>
      <c r="K7" s="9">
        <v>0.72</v>
      </c>
      <c r="L7" s="8">
        <v>70.099999999999994</v>
      </c>
      <c r="M7" s="3">
        <v>0.67</v>
      </c>
      <c r="N7" s="3">
        <v>25</v>
      </c>
      <c r="O7" s="8">
        <v>17.399999999999999</v>
      </c>
      <c r="P7" s="8">
        <v>17.600000000000001</v>
      </c>
      <c r="Q7" s="8">
        <v>12.9</v>
      </c>
      <c r="R7" s="8">
        <v>6.1</v>
      </c>
      <c r="S7" s="4" t="s">
        <v>60</v>
      </c>
      <c r="T7" s="8">
        <v>15.4</v>
      </c>
      <c r="U7" s="8">
        <v>0.1</v>
      </c>
      <c r="V7" s="5">
        <v>45979.44604166667</v>
      </c>
      <c r="W7" s="5">
        <v>45979.446388888886</v>
      </c>
      <c r="X7" s="6">
        <v>3.4722223062999547E-4</v>
      </c>
    </row>
    <row r="8" spans="1:24" x14ac:dyDescent="0.3">
      <c r="A8" s="2">
        <v>15</v>
      </c>
      <c r="B8" t="s">
        <v>61</v>
      </c>
      <c r="C8" t="s">
        <v>13</v>
      </c>
      <c r="D8" t="s">
        <v>56</v>
      </c>
      <c r="E8" t="s">
        <v>18</v>
      </c>
      <c r="F8" t="s">
        <v>40</v>
      </c>
      <c r="G8" s="8">
        <v>13.9</v>
      </c>
      <c r="H8" s="8">
        <v>6.1</v>
      </c>
      <c r="I8" s="8">
        <v>3.9</v>
      </c>
      <c r="J8" s="8">
        <v>2.6</v>
      </c>
      <c r="K8" s="9">
        <v>0.66</v>
      </c>
      <c r="L8" s="8">
        <v>69.8</v>
      </c>
      <c r="M8" s="3">
        <v>0.625</v>
      </c>
      <c r="N8" s="3">
        <v>25</v>
      </c>
      <c r="O8" s="8">
        <v>19.3</v>
      </c>
      <c r="P8" s="8">
        <v>22.6</v>
      </c>
      <c r="Q8" s="8">
        <v>14.5</v>
      </c>
      <c r="R8" s="8">
        <v>4</v>
      </c>
      <c r="S8" s="4" t="s">
        <v>60</v>
      </c>
      <c r="T8" s="8">
        <v>16.3</v>
      </c>
      <c r="U8" s="8">
        <v>1.4</v>
      </c>
      <c r="V8" s="5">
        <v>45979.446504629632</v>
      </c>
      <c r="W8" s="5">
        <v>45979.446655092594</v>
      </c>
      <c r="X8" s="6">
        <v>1.5046296175569296E-4</v>
      </c>
    </row>
    <row r="9" spans="1:24" x14ac:dyDescent="0.3">
      <c r="A9" s="2">
        <v>16</v>
      </c>
      <c r="B9" t="s">
        <v>62</v>
      </c>
      <c r="C9" t="s">
        <v>13</v>
      </c>
      <c r="D9" t="s">
        <v>56</v>
      </c>
      <c r="E9" t="s">
        <v>18</v>
      </c>
      <c r="F9" t="s">
        <v>40</v>
      </c>
      <c r="G9" s="8">
        <v>14.2</v>
      </c>
      <c r="H9" s="8">
        <v>6.1</v>
      </c>
      <c r="I9" s="8">
        <v>3.9</v>
      </c>
      <c r="J9" s="8">
        <v>2.6</v>
      </c>
      <c r="K9" s="9">
        <v>0.65</v>
      </c>
      <c r="L9" s="8">
        <v>68.599999999999994</v>
      </c>
      <c r="M9" s="3">
        <v>0.621</v>
      </c>
      <c r="N9" s="3">
        <v>25</v>
      </c>
      <c r="O9" s="8">
        <v>22.3</v>
      </c>
      <c r="P9" s="8">
        <v>18.7</v>
      </c>
      <c r="Q9" s="8">
        <v>12</v>
      </c>
      <c r="R9" s="8">
        <v>4.5</v>
      </c>
      <c r="S9" s="4" t="s">
        <v>60</v>
      </c>
      <c r="T9" s="8">
        <v>10.199999999999999</v>
      </c>
      <c r="U9" s="8">
        <v>2.2999999999999998</v>
      </c>
      <c r="V9" s="5">
        <v>45979.446747685186</v>
      </c>
      <c r="W9" s="5">
        <v>45979.446863425925</v>
      </c>
      <c r="X9" s="6">
        <v>1.1574075324460864E-4</v>
      </c>
    </row>
    <row r="10" spans="1:24" hidden="1" x14ac:dyDescent="0.3">
      <c r="A10" s="2">
        <v>17</v>
      </c>
      <c r="B10" t="s">
        <v>63</v>
      </c>
      <c r="C10" t="s">
        <v>13</v>
      </c>
      <c r="D10" t="s">
        <v>56</v>
      </c>
      <c r="E10" t="s">
        <v>22</v>
      </c>
      <c r="F10" t="s">
        <v>40</v>
      </c>
      <c r="G10" s="8">
        <v>13.8</v>
      </c>
      <c r="H10" s="8">
        <v>6.5</v>
      </c>
      <c r="I10" s="8">
        <v>4.2</v>
      </c>
      <c r="J10" s="8">
        <v>2.6</v>
      </c>
      <c r="K10" s="9">
        <v>0.84</v>
      </c>
      <c r="L10" s="8">
        <v>68.7</v>
      </c>
      <c r="M10" s="3">
        <v>0.61099999999999999</v>
      </c>
      <c r="N10" s="3">
        <v>25</v>
      </c>
      <c r="O10" s="8">
        <v>13.2</v>
      </c>
      <c r="P10" s="8">
        <v>15.6</v>
      </c>
      <c r="Q10" s="8">
        <v>16.7</v>
      </c>
      <c r="R10" s="8">
        <v>5.3</v>
      </c>
      <c r="S10" s="8">
        <v>18.399999999999999</v>
      </c>
      <c r="T10" s="8">
        <v>9.6</v>
      </c>
      <c r="U10" s="8">
        <v>1.6</v>
      </c>
      <c r="V10" s="5">
        <v>45979.666527777779</v>
      </c>
      <c r="W10" s="5">
        <v>45979.666817129626</v>
      </c>
      <c r="X10" s="6">
        <v>2.8935185400769114E-4</v>
      </c>
    </row>
    <row r="11" spans="1:24" hidden="1" x14ac:dyDescent="0.3">
      <c r="A11" s="2">
        <v>18</v>
      </c>
      <c r="B11" t="s">
        <v>64</v>
      </c>
      <c r="C11" t="s">
        <v>13</v>
      </c>
      <c r="D11" t="s">
        <v>56</v>
      </c>
      <c r="E11" t="s">
        <v>22</v>
      </c>
      <c r="F11" t="s">
        <v>40</v>
      </c>
      <c r="G11" s="8">
        <v>14.1</v>
      </c>
      <c r="H11" s="8">
        <v>6.4</v>
      </c>
      <c r="I11" s="8">
        <v>3.6</v>
      </c>
      <c r="J11" s="8">
        <v>2.5</v>
      </c>
      <c r="K11" s="9">
        <v>0.84</v>
      </c>
      <c r="L11" s="8">
        <v>68.8</v>
      </c>
      <c r="M11" s="3">
        <v>0.67600000000000005</v>
      </c>
      <c r="N11" s="3">
        <v>25</v>
      </c>
      <c r="O11" s="8">
        <v>13.9</v>
      </c>
      <c r="P11" s="8">
        <v>12.8</v>
      </c>
      <c r="Q11" s="8">
        <v>14.8</v>
      </c>
      <c r="R11" s="8">
        <v>7</v>
      </c>
      <c r="S11" s="8">
        <v>12.7</v>
      </c>
      <c r="T11" s="8">
        <v>10.6</v>
      </c>
      <c r="U11" s="8">
        <v>2.5</v>
      </c>
      <c r="V11" s="5">
        <v>45979.666921296295</v>
      </c>
      <c r="W11" s="5">
        <v>45979.667037037034</v>
      </c>
      <c r="X11" s="6">
        <v>1.2731482274830341E-4</v>
      </c>
    </row>
    <row r="12" spans="1:24" hidden="1" x14ac:dyDescent="0.3">
      <c r="A12" s="2">
        <v>19</v>
      </c>
      <c r="B12" t="s">
        <v>65</v>
      </c>
      <c r="C12" t="s">
        <v>13</v>
      </c>
      <c r="D12" t="s">
        <v>56</v>
      </c>
      <c r="E12" t="s">
        <v>22</v>
      </c>
      <c r="F12" t="s">
        <v>40</v>
      </c>
      <c r="G12" s="8">
        <v>14.3</v>
      </c>
      <c r="H12" s="8">
        <v>6</v>
      </c>
      <c r="I12" s="8">
        <v>3.6</v>
      </c>
      <c r="J12" s="8">
        <v>2.6</v>
      </c>
      <c r="K12" s="9">
        <v>0.85</v>
      </c>
      <c r="L12" s="8">
        <v>69</v>
      </c>
      <c r="M12" s="3">
        <v>0.66900000000000004</v>
      </c>
      <c r="N12" s="3">
        <v>25</v>
      </c>
      <c r="O12" s="8">
        <v>13.9</v>
      </c>
      <c r="P12" s="8">
        <v>10.5</v>
      </c>
      <c r="Q12" s="8">
        <v>17.3</v>
      </c>
      <c r="R12" s="8">
        <v>6.1</v>
      </c>
      <c r="S12" s="8">
        <v>11.7</v>
      </c>
      <c r="T12" s="8">
        <v>11.1</v>
      </c>
      <c r="U12" s="8">
        <v>1.1000000000000001</v>
      </c>
      <c r="V12" s="5">
        <v>45979.667164351849</v>
      </c>
      <c r="W12" s="5">
        <v>45979.667326388888</v>
      </c>
      <c r="X12" s="6">
        <v>1.6203703125938773E-4</v>
      </c>
    </row>
    <row r="13" spans="1:24" x14ac:dyDescent="0.3">
      <c r="A13" s="2">
        <v>20</v>
      </c>
      <c r="B13" t="s">
        <v>66</v>
      </c>
      <c r="C13" t="s">
        <v>13</v>
      </c>
      <c r="D13" t="s">
        <v>56</v>
      </c>
      <c r="E13" t="s">
        <v>25</v>
      </c>
      <c r="F13" t="s">
        <v>40</v>
      </c>
      <c r="G13" s="8">
        <v>13.9</v>
      </c>
      <c r="H13" s="8">
        <v>6.4</v>
      </c>
      <c r="I13" s="8">
        <v>3.7</v>
      </c>
      <c r="J13" s="8">
        <v>2.6</v>
      </c>
      <c r="K13" s="9">
        <v>0.63</v>
      </c>
      <c r="L13" s="8">
        <v>70</v>
      </c>
      <c r="M13" s="3">
        <v>0.623</v>
      </c>
      <c r="N13" s="3">
        <v>25</v>
      </c>
      <c r="O13" s="8">
        <v>19.2</v>
      </c>
      <c r="P13" s="8">
        <v>21.9</v>
      </c>
      <c r="Q13" s="8">
        <v>13.7</v>
      </c>
      <c r="R13" s="8">
        <v>5.2</v>
      </c>
      <c r="S13" s="4" t="s">
        <v>60</v>
      </c>
      <c r="T13" s="8">
        <v>15.5</v>
      </c>
      <c r="U13" s="8">
        <v>1.6</v>
      </c>
      <c r="V13" s="5">
        <v>45979.673634259256</v>
      </c>
      <c r="W13" s="5">
        <v>45979.673831018517</v>
      </c>
      <c r="X13" s="6">
        <v>1.9675926887430251E-4</v>
      </c>
    </row>
    <row r="14" spans="1:24" x14ac:dyDescent="0.3">
      <c r="A14" s="2">
        <v>21</v>
      </c>
      <c r="B14" t="s">
        <v>67</v>
      </c>
      <c r="C14" t="s">
        <v>13</v>
      </c>
      <c r="D14" t="s">
        <v>56</v>
      </c>
      <c r="E14" t="s">
        <v>25</v>
      </c>
      <c r="F14" t="s">
        <v>40</v>
      </c>
      <c r="G14" s="8">
        <v>14.1</v>
      </c>
      <c r="H14" s="8">
        <v>6.1</v>
      </c>
      <c r="I14" s="8">
        <v>3.7</v>
      </c>
      <c r="J14" s="8">
        <v>2.6</v>
      </c>
      <c r="K14" s="9">
        <v>0.67</v>
      </c>
      <c r="L14" s="8">
        <v>69.8</v>
      </c>
      <c r="M14" s="3">
        <v>0.63900000000000001</v>
      </c>
      <c r="N14" s="3">
        <v>25</v>
      </c>
      <c r="O14" s="8">
        <v>19.899999999999999</v>
      </c>
      <c r="P14" s="8">
        <v>22.2</v>
      </c>
      <c r="Q14" s="8">
        <v>15.1</v>
      </c>
      <c r="R14" s="8">
        <v>5.2</v>
      </c>
      <c r="S14" s="4" t="s">
        <v>60</v>
      </c>
      <c r="T14" s="8">
        <v>15</v>
      </c>
      <c r="U14" s="8">
        <v>0.6</v>
      </c>
      <c r="V14" s="5">
        <v>45979.673935185187</v>
      </c>
      <c r="W14" s="5">
        <v>45979.674131944441</v>
      </c>
      <c r="X14" s="6">
        <v>1.9675926887430251E-4</v>
      </c>
    </row>
    <row r="15" spans="1:24" x14ac:dyDescent="0.3">
      <c r="A15" s="2">
        <v>22</v>
      </c>
      <c r="B15" t="s">
        <v>68</v>
      </c>
      <c r="C15" t="s">
        <v>13</v>
      </c>
      <c r="D15" t="s">
        <v>56</v>
      </c>
      <c r="E15" t="s">
        <v>25</v>
      </c>
      <c r="F15" t="s">
        <v>40</v>
      </c>
      <c r="G15" s="8">
        <v>14</v>
      </c>
      <c r="H15" s="8">
        <v>5.9</v>
      </c>
      <c r="I15" s="8">
        <v>3.6</v>
      </c>
      <c r="J15" s="8">
        <v>2.6</v>
      </c>
      <c r="K15" s="9">
        <v>0.73</v>
      </c>
      <c r="L15" s="8">
        <v>70.7</v>
      </c>
      <c r="M15" s="3">
        <v>0.65500000000000003</v>
      </c>
      <c r="N15" s="3">
        <v>25</v>
      </c>
      <c r="O15" s="8">
        <v>21</v>
      </c>
      <c r="P15" s="8">
        <v>21.1</v>
      </c>
      <c r="Q15" s="8">
        <v>18.600000000000001</v>
      </c>
      <c r="R15" s="8">
        <v>10.199999999999999</v>
      </c>
      <c r="S15" s="4" t="s">
        <v>60</v>
      </c>
      <c r="T15" s="8">
        <v>20.5</v>
      </c>
      <c r="U15" s="8">
        <v>2.8</v>
      </c>
      <c r="V15" s="5">
        <v>45979.674247685187</v>
      </c>
      <c r="W15" s="5">
        <v>45979.674444444441</v>
      </c>
      <c r="X15" s="6">
        <v>1.9675926887430251E-4</v>
      </c>
    </row>
    <row r="16" spans="1:24" hidden="1" x14ac:dyDescent="0.3">
      <c r="A16" s="2">
        <v>23</v>
      </c>
      <c r="B16" t="s">
        <v>69</v>
      </c>
      <c r="C16" t="s">
        <v>13</v>
      </c>
      <c r="D16" t="s">
        <v>56</v>
      </c>
      <c r="E16" t="s">
        <v>29</v>
      </c>
      <c r="F16" t="s">
        <v>40</v>
      </c>
      <c r="G16" s="8">
        <v>13.9</v>
      </c>
      <c r="H16" s="8">
        <v>6.3</v>
      </c>
      <c r="I16" s="8">
        <v>4.2</v>
      </c>
      <c r="J16" s="8">
        <v>2.6</v>
      </c>
      <c r="K16" s="9">
        <v>0.79</v>
      </c>
      <c r="L16" s="8">
        <v>67.8</v>
      </c>
      <c r="M16" s="3">
        <v>0.59599999999999997</v>
      </c>
      <c r="N16" s="3">
        <v>25</v>
      </c>
      <c r="O16" s="8">
        <v>15.8</v>
      </c>
      <c r="P16" s="8">
        <v>11.3</v>
      </c>
      <c r="Q16" s="8">
        <v>13.8</v>
      </c>
      <c r="R16" s="8">
        <v>5.5</v>
      </c>
      <c r="S16" s="8">
        <v>16.5</v>
      </c>
      <c r="T16" s="8">
        <v>7</v>
      </c>
      <c r="U16" s="8">
        <v>2.6</v>
      </c>
      <c r="V16" s="5">
        <v>45979.688657407409</v>
      </c>
      <c r="W16" s="5">
        <v>45979.688854166663</v>
      </c>
      <c r="X16" s="6">
        <v>1.9675926887430251E-4</v>
      </c>
    </row>
    <row r="17" spans="1:24" hidden="1" x14ac:dyDescent="0.3">
      <c r="A17" s="2">
        <v>24</v>
      </c>
      <c r="B17" t="s">
        <v>70</v>
      </c>
      <c r="C17" t="s">
        <v>13</v>
      </c>
      <c r="D17" t="s">
        <v>56</v>
      </c>
      <c r="E17" t="s">
        <v>29</v>
      </c>
      <c r="F17" t="s">
        <v>40</v>
      </c>
      <c r="G17" s="8">
        <v>13.8</v>
      </c>
      <c r="H17" s="8">
        <v>6.1</v>
      </c>
      <c r="I17" s="8">
        <v>3.9</v>
      </c>
      <c r="J17" s="8">
        <v>2.6</v>
      </c>
      <c r="K17" s="9">
        <v>0.78</v>
      </c>
      <c r="L17" s="8">
        <v>68.8</v>
      </c>
      <c r="M17" s="3">
        <v>0.627</v>
      </c>
      <c r="N17" s="3">
        <v>25</v>
      </c>
      <c r="O17" s="8">
        <v>13.4</v>
      </c>
      <c r="P17" s="8">
        <v>11.8</v>
      </c>
      <c r="Q17" s="8">
        <v>13.4</v>
      </c>
      <c r="R17" s="8">
        <v>3.3</v>
      </c>
      <c r="S17" s="8">
        <v>16</v>
      </c>
      <c r="T17" s="8">
        <v>8.6999999999999993</v>
      </c>
      <c r="U17" s="8">
        <v>1.2</v>
      </c>
      <c r="V17" s="5">
        <v>45979.689027777778</v>
      </c>
      <c r="W17" s="5">
        <v>45979.68922453704</v>
      </c>
      <c r="X17" s="6">
        <v>1.9675926887430251E-4</v>
      </c>
    </row>
    <row r="18" spans="1:24" hidden="1" x14ac:dyDescent="0.3">
      <c r="A18" s="2">
        <v>25</v>
      </c>
      <c r="B18" t="s">
        <v>71</v>
      </c>
      <c r="C18" t="s">
        <v>13</v>
      </c>
      <c r="D18" t="s">
        <v>56</v>
      </c>
      <c r="E18" t="s">
        <v>29</v>
      </c>
      <c r="F18" t="s">
        <v>40</v>
      </c>
      <c r="G18" s="8">
        <v>14.4</v>
      </c>
      <c r="H18" s="8">
        <v>6.1</v>
      </c>
      <c r="I18" s="8">
        <v>3.7</v>
      </c>
      <c r="J18" s="8">
        <v>2.6</v>
      </c>
      <c r="K18" s="9">
        <v>0.79</v>
      </c>
      <c r="L18" s="8">
        <v>69.2</v>
      </c>
      <c r="M18" s="3">
        <v>0.63900000000000001</v>
      </c>
      <c r="N18" s="3">
        <v>25</v>
      </c>
      <c r="O18" s="8">
        <v>20</v>
      </c>
      <c r="P18" s="8">
        <v>13</v>
      </c>
      <c r="Q18" s="8">
        <v>14.2</v>
      </c>
      <c r="R18" s="8">
        <v>4.4000000000000004</v>
      </c>
      <c r="S18" s="8">
        <v>18.899999999999999</v>
      </c>
      <c r="T18" s="8">
        <v>12.1</v>
      </c>
      <c r="U18" s="8">
        <v>4</v>
      </c>
      <c r="V18" s="5">
        <v>45979.689340277779</v>
      </c>
      <c r="W18" s="5">
        <v>45979.68953703704</v>
      </c>
      <c r="X18" s="6">
        <v>1.9675926887430251E-4</v>
      </c>
    </row>
    <row r="19" spans="1:24" hidden="1" x14ac:dyDescent="0.3">
      <c r="A19" s="2">
        <v>26</v>
      </c>
      <c r="B19" t="s">
        <v>72</v>
      </c>
      <c r="C19" t="s">
        <v>13</v>
      </c>
      <c r="D19" t="s">
        <v>56</v>
      </c>
      <c r="E19" t="s">
        <v>33</v>
      </c>
      <c r="F19" t="s">
        <v>40</v>
      </c>
      <c r="G19" s="8">
        <v>14.2</v>
      </c>
      <c r="H19" s="8">
        <v>5.8</v>
      </c>
      <c r="I19" s="8">
        <v>4.0999999999999996</v>
      </c>
      <c r="J19" s="8">
        <v>2.5</v>
      </c>
      <c r="K19" s="9">
        <v>0.84</v>
      </c>
      <c r="L19" s="8">
        <v>68.5</v>
      </c>
      <c r="M19" s="3">
        <v>0.64</v>
      </c>
      <c r="N19" s="3">
        <v>25</v>
      </c>
      <c r="O19" s="8">
        <v>16.8</v>
      </c>
      <c r="P19" s="8">
        <v>12.1</v>
      </c>
      <c r="Q19" s="8">
        <v>16</v>
      </c>
      <c r="R19" s="8">
        <v>1.6</v>
      </c>
      <c r="S19" s="8">
        <v>14.9</v>
      </c>
      <c r="T19" s="8">
        <v>7.1</v>
      </c>
      <c r="U19" s="8">
        <v>0.9</v>
      </c>
      <c r="V19" s="5">
        <v>45979.705937500003</v>
      </c>
      <c r="W19" s="5">
        <v>45979.706180555557</v>
      </c>
      <c r="X19" s="6">
        <v>2.430555468890816E-4</v>
      </c>
    </row>
    <row r="20" spans="1:24" hidden="1" x14ac:dyDescent="0.3">
      <c r="A20" s="2">
        <v>27</v>
      </c>
      <c r="B20" t="s">
        <v>73</v>
      </c>
      <c r="C20" t="s">
        <v>13</v>
      </c>
      <c r="D20" t="s">
        <v>56</v>
      </c>
      <c r="E20" t="s">
        <v>33</v>
      </c>
      <c r="F20" t="s">
        <v>40</v>
      </c>
      <c r="G20" s="8">
        <v>13.9</v>
      </c>
      <c r="H20" s="8">
        <v>6.1</v>
      </c>
      <c r="I20" s="8">
        <v>4.2</v>
      </c>
      <c r="J20" s="8">
        <v>2.7</v>
      </c>
      <c r="K20" s="9">
        <v>0.8</v>
      </c>
      <c r="L20" s="8">
        <v>68</v>
      </c>
      <c r="M20" s="3">
        <v>0.60399999999999998</v>
      </c>
      <c r="N20" s="3">
        <v>25</v>
      </c>
      <c r="O20" s="8">
        <v>18.100000000000001</v>
      </c>
      <c r="P20" s="8">
        <v>17.3</v>
      </c>
      <c r="Q20" s="8">
        <v>15.4</v>
      </c>
      <c r="R20" s="8">
        <v>7.7</v>
      </c>
      <c r="S20" s="4" t="s">
        <v>60</v>
      </c>
      <c r="T20" s="8">
        <v>8</v>
      </c>
      <c r="U20" s="8">
        <v>2.8</v>
      </c>
      <c r="V20" s="5">
        <v>45979.706284722219</v>
      </c>
      <c r="W20" s="5">
        <v>45979.706446759257</v>
      </c>
      <c r="X20" s="6">
        <v>1.6203703125938773E-4</v>
      </c>
    </row>
    <row r="21" spans="1:24" hidden="1" x14ac:dyDescent="0.3">
      <c r="A21" s="2">
        <v>28</v>
      </c>
      <c r="B21" t="s">
        <v>74</v>
      </c>
      <c r="C21" t="s">
        <v>13</v>
      </c>
      <c r="D21" t="s">
        <v>56</v>
      </c>
      <c r="E21" t="s">
        <v>33</v>
      </c>
      <c r="F21" t="s">
        <v>40</v>
      </c>
      <c r="G21" s="8">
        <v>13.7</v>
      </c>
      <c r="H21" s="8">
        <v>6.3</v>
      </c>
      <c r="I21" s="8">
        <v>4.2</v>
      </c>
      <c r="J21" s="8">
        <v>2.7</v>
      </c>
      <c r="K21" s="9">
        <v>0.85</v>
      </c>
      <c r="L21" s="8">
        <v>67.7</v>
      </c>
      <c r="M21" s="3">
        <v>0.60499999999999998</v>
      </c>
      <c r="N21" s="3">
        <v>25</v>
      </c>
      <c r="O21" s="8">
        <v>16.8</v>
      </c>
      <c r="P21" s="8">
        <v>16.399999999999999</v>
      </c>
      <c r="Q21" s="8">
        <v>13.8</v>
      </c>
      <c r="R21" s="8">
        <v>7.2</v>
      </c>
      <c r="S21" s="4" t="s">
        <v>60</v>
      </c>
      <c r="T21" s="8">
        <v>7.8</v>
      </c>
      <c r="U21" s="8">
        <v>4.2</v>
      </c>
      <c r="V21" s="5">
        <v>45979.706631944442</v>
      </c>
      <c r="W21" s="5">
        <v>45979.706909722219</v>
      </c>
      <c r="X21" s="6">
        <v>2.7777778450399637E-4</v>
      </c>
    </row>
    <row r="22" spans="1:24" hidden="1" x14ac:dyDescent="0.3">
      <c r="B22" s="1" t="s">
        <v>34</v>
      </c>
      <c r="G22" s="10">
        <f t="shared" ref="G22:U22" si="0">AVERAGE(G4:G21)</f>
        <v>14</v>
      </c>
      <c r="H22" s="10">
        <f t="shared" si="0"/>
        <v>6.155555555555555</v>
      </c>
      <c r="I22" s="10">
        <f t="shared" si="0"/>
        <v>3.861111111111112</v>
      </c>
      <c r="J22" s="10">
        <f t="shared" si="0"/>
        <v>2.5722222222222229</v>
      </c>
      <c r="K22" s="11">
        <f t="shared" si="0"/>
        <v>0.77111111111111119</v>
      </c>
      <c r="L22" s="10">
        <f t="shared" si="0"/>
        <v>68.927777777777777</v>
      </c>
      <c r="M22" s="7">
        <f t="shared" si="0"/>
        <v>0.63866666666666672</v>
      </c>
      <c r="N22" s="7">
        <f t="shared" si="0"/>
        <v>25</v>
      </c>
      <c r="O22" s="10">
        <f t="shared" si="0"/>
        <v>16.016666666666669</v>
      </c>
      <c r="P22" s="10">
        <f t="shared" si="0"/>
        <v>15.827777777777776</v>
      </c>
      <c r="Q22" s="10">
        <f t="shared" si="0"/>
        <v>14.711111111111112</v>
      </c>
      <c r="R22" s="10">
        <f t="shared" si="0"/>
        <v>5.7</v>
      </c>
      <c r="S22" s="10">
        <f t="shared" si="0"/>
        <v>15.39</v>
      </c>
      <c r="T22" s="10">
        <f t="shared" si="0"/>
        <v>11.044444444444443</v>
      </c>
      <c r="U22" s="10">
        <f t="shared" si="0"/>
        <v>1.7333333333333334</v>
      </c>
    </row>
    <row r="23" spans="1:24" hidden="1" x14ac:dyDescent="0.3">
      <c r="B23" s="1" t="s">
        <v>35</v>
      </c>
      <c r="G23" s="10">
        <f t="shared" ref="G23:U23" si="1">MIN(G4:G21)</f>
        <v>13.7</v>
      </c>
      <c r="H23" s="10">
        <f t="shared" si="1"/>
        <v>5.8</v>
      </c>
      <c r="I23" s="10">
        <f t="shared" si="1"/>
        <v>3.4</v>
      </c>
      <c r="J23" s="10">
        <f t="shared" si="1"/>
        <v>2.4</v>
      </c>
      <c r="K23" s="11">
        <f t="shared" si="1"/>
        <v>0.63</v>
      </c>
      <c r="L23" s="10">
        <f t="shared" si="1"/>
        <v>67.7</v>
      </c>
      <c r="M23" s="7">
        <f t="shared" si="1"/>
        <v>0.59599999999999997</v>
      </c>
      <c r="N23" s="7">
        <f t="shared" si="1"/>
        <v>25</v>
      </c>
      <c r="O23" s="10">
        <f t="shared" si="1"/>
        <v>6.2</v>
      </c>
      <c r="P23" s="10">
        <f t="shared" si="1"/>
        <v>9.3000000000000007</v>
      </c>
      <c r="Q23" s="10">
        <f t="shared" si="1"/>
        <v>9.5</v>
      </c>
      <c r="R23" s="10">
        <f t="shared" si="1"/>
        <v>1.6</v>
      </c>
      <c r="S23" s="10">
        <f t="shared" si="1"/>
        <v>11.1</v>
      </c>
      <c r="T23" s="10">
        <f t="shared" si="1"/>
        <v>5.6</v>
      </c>
      <c r="U23" s="10">
        <f t="shared" si="1"/>
        <v>0.1</v>
      </c>
    </row>
    <row r="24" spans="1:24" hidden="1" x14ac:dyDescent="0.3">
      <c r="B24" s="1" t="s">
        <v>36</v>
      </c>
      <c r="G24" s="10">
        <f t="shared" ref="G24:U24" si="2">MAX(G4:G21)</f>
        <v>14.4</v>
      </c>
      <c r="H24" s="10">
        <f t="shared" si="2"/>
        <v>6.5</v>
      </c>
      <c r="I24" s="10">
        <f t="shared" si="2"/>
        <v>4.3</v>
      </c>
      <c r="J24" s="10">
        <f t="shared" si="2"/>
        <v>2.7</v>
      </c>
      <c r="K24" s="11">
        <f t="shared" si="2"/>
        <v>0.85</v>
      </c>
      <c r="L24" s="10">
        <f t="shared" si="2"/>
        <v>70.7</v>
      </c>
      <c r="M24" s="7">
        <f t="shared" si="2"/>
        <v>0.68300000000000005</v>
      </c>
      <c r="N24" s="7">
        <f t="shared" si="2"/>
        <v>25</v>
      </c>
      <c r="O24" s="10">
        <f t="shared" si="2"/>
        <v>22.3</v>
      </c>
      <c r="P24" s="10">
        <f t="shared" si="2"/>
        <v>22.6</v>
      </c>
      <c r="Q24" s="10">
        <f t="shared" si="2"/>
        <v>18.899999999999999</v>
      </c>
      <c r="R24" s="10">
        <f t="shared" si="2"/>
        <v>10.199999999999999</v>
      </c>
      <c r="S24" s="10">
        <f t="shared" si="2"/>
        <v>18.899999999999999</v>
      </c>
      <c r="T24" s="10">
        <f t="shared" si="2"/>
        <v>20.5</v>
      </c>
      <c r="U24" s="10">
        <f t="shared" si="2"/>
        <v>4.2</v>
      </c>
    </row>
    <row r="25" spans="1:24" hidden="1" x14ac:dyDescent="0.3">
      <c r="B25" s="1" t="s">
        <v>37</v>
      </c>
      <c r="G25" s="10">
        <f t="shared" ref="G25:U25" si="3">STDEV(G4:G21)</f>
        <v>0.19703687322875543</v>
      </c>
      <c r="H25" s="10">
        <f t="shared" si="3"/>
        <v>0.18856180831641273</v>
      </c>
      <c r="I25" s="10">
        <f t="shared" si="3"/>
        <v>0.27682844313419919</v>
      </c>
      <c r="J25" s="10">
        <f t="shared" si="3"/>
        <v>8.264420947336322E-2</v>
      </c>
      <c r="K25" s="11">
        <f t="shared" si="3"/>
        <v>7.5528638034845372E-2</v>
      </c>
      <c r="L25" s="10">
        <f t="shared" si="3"/>
        <v>0.89561385820371053</v>
      </c>
      <c r="M25" s="7">
        <f t="shared" si="3"/>
        <v>2.7059846527976619E-2</v>
      </c>
      <c r="N25" s="7">
        <f t="shared" si="3"/>
        <v>0</v>
      </c>
      <c r="O25" s="10">
        <f t="shared" si="3"/>
        <v>4.2839303009653689</v>
      </c>
      <c r="P25" s="10">
        <f t="shared" si="3"/>
        <v>4.2462170784269011</v>
      </c>
      <c r="Q25" s="10">
        <f t="shared" si="3"/>
        <v>2.2800642119154086</v>
      </c>
      <c r="R25" s="10">
        <f t="shared" si="3"/>
        <v>2.0863703354080201</v>
      </c>
      <c r="S25" s="10">
        <f t="shared" si="3"/>
        <v>2.8454447026002057</v>
      </c>
      <c r="T25" s="10">
        <f t="shared" si="3"/>
        <v>4.1450498077220699</v>
      </c>
      <c r="U25" s="10">
        <f t="shared" si="3"/>
        <v>1.2208964883617766</v>
      </c>
    </row>
    <row r="27" spans="1:24" x14ac:dyDescent="0.3">
      <c r="B27" s="1" t="s">
        <v>38</v>
      </c>
      <c r="G27" s="10" t="s">
        <v>39</v>
      </c>
      <c r="H27" s="10" t="s">
        <v>39</v>
      </c>
      <c r="I27" s="10" t="s">
        <v>39</v>
      </c>
      <c r="J27" s="10" t="s">
        <v>39</v>
      </c>
      <c r="K27" s="11" t="s">
        <v>39</v>
      </c>
      <c r="L27" s="10" t="s">
        <v>39</v>
      </c>
      <c r="M27" s="7" t="s">
        <v>39</v>
      </c>
      <c r="N27" s="7" t="s">
        <v>39</v>
      </c>
      <c r="O27" s="10" t="s">
        <v>39</v>
      </c>
      <c r="P27" s="10" t="s">
        <v>39</v>
      </c>
      <c r="Q27" s="10" t="s">
        <v>39</v>
      </c>
      <c r="R27" s="10" t="s">
        <v>39</v>
      </c>
      <c r="S27" s="10" t="s">
        <v>39</v>
      </c>
      <c r="T27" s="10" t="s">
        <v>39</v>
      </c>
      <c r="U27" s="10" t="s">
        <v>39</v>
      </c>
    </row>
  </sheetData>
  <autoFilter ref="A3:X25" xr:uid="{9523BD95-D04B-4277-A65E-727809686975}">
    <filterColumn colId="4">
      <filters>
        <filter val="L1 - NBL"/>
        <filter val="L1 APM - LBF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F1E3-CE13-46F6-8DB6-200882045E03}">
  <sheetPr filterMode="1"/>
  <dimension ref="A1:T27"/>
  <sheetViews>
    <sheetView topLeftCell="B1" workbookViewId="0">
      <selection activeCell="K7" sqref="K7:K15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17" width="11.6640625" bestFit="1" customWidth="1"/>
    <col min="18" max="19" width="17.88671875" bestFit="1" customWidth="1"/>
    <col min="20" max="20" width="11.6640625" bestFit="1" customWidth="1"/>
  </cols>
  <sheetData>
    <row r="1" spans="1:20" s="1" customFormat="1" ht="13.8" x14ac:dyDescent="0.25">
      <c r="A1" s="1" t="s">
        <v>0</v>
      </c>
    </row>
    <row r="3" spans="1:20" x14ac:dyDescent="0.3">
      <c r="A3" s="2" t="s">
        <v>1</v>
      </c>
      <c r="B3" s="2" t="s">
        <v>75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41</v>
      </c>
      <c r="H3" s="2" t="s">
        <v>42</v>
      </c>
      <c r="I3" s="2" t="s">
        <v>76</v>
      </c>
      <c r="J3" s="2" t="s">
        <v>44</v>
      </c>
      <c r="K3" s="2" t="s">
        <v>45</v>
      </c>
      <c r="L3" s="2" t="s">
        <v>7</v>
      </c>
      <c r="M3" s="2" t="s">
        <v>48</v>
      </c>
      <c r="N3" s="2" t="s">
        <v>49</v>
      </c>
      <c r="O3" s="2" t="s">
        <v>77</v>
      </c>
      <c r="P3" s="2" t="s">
        <v>51</v>
      </c>
      <c r="Q3" s="2" t="s">
        <v>52</v>
      </c>
      <c r="R3" s="2" t="s">
        <v>9</v>
      </c>
      <c r="S3" s="2" t="s">
        <v>10</v>
      </c>
      <c r="T3" s="2" t="s">
        <v>11</v>
      </c>
    </row>
    <row r="4" spans="1:20" hidden="1" x14ac:dyDescent="0.3">
      <c r="A4" s="2">
        <v>29</v>
      </c>
      <c r="B4" t="s">
        <v>78</v>
      </c>
      <c r="C4" t="s">
        <v>13</v>
      </c>
      <c r="D4" t="s">
        <v>79</v>
      </c>
      <c r="E4" t="s">
        <v>15</v>
      </c>
      <c r="F4" t="s">
        <v>75</v>
      </c>
      <c r="G4" s="8">
        <v>12.6</v>
      </c>
      <c r="H4" s="8">
        <v>45.4</v>
      </c>
      <c r="I4" s="8">
        <v>1.7</v>
      </c>
      <c r="J4" s="8">
        <v>5.5</v>
      </c>
      <c r="K4" s="9">
        <v>6.07</v>
      </c>
      <c r="L4" s="3">
        <v>25</v>
      </c>
      <c r="M4" s="8">
        <v>22.8</v>
      </c>
      <c r="N4" s="8">
        <v>7.8</v>
      </c>
      <c r="O4" s="8">
        <v>55.5</v>
      </c>
      <c r="P4" s="8">
        <v>2.2999999999999998</v>
      </c>
      <c r="Q4" s="8">
        <v>8.3000000000000007</v>
      </c>
      <c r="R4" s="5">
        <v>45979.438645833332</v>
      </c>
      <c r="S4" s="5">
        <v>45979.438831018517</v>
      </c>
      <c r="T4" s="6">
        <v>1.9675926887430251E-4</v>
      </c>
    </row>
    <row r="5" spans="1:20" hidden="1" x14ac:dyDescent="0.3">
      <c r="A5" s="2">
        <v>30</v>
      </c>
      <c r="B5" t="s">
        <v>80</v>
      </c>
      <c r="C5" t="s">
        <v>13</v>
      </c>
      <c r="D5" t="s">
        <v>79</v>
      </c>
      <c r="E5" t="s">
        <v>15</v>
      </c>
      <c r="F5" t="s">
        <v>75</v>
      </c>
      <c r="G5" s="8">
        <v>12.8</v>
      </c>
      <c r="H5" s="8">
        <v>45.1</v>
      </c>
      <c r="I5" s="8">
        <v>1.6</v>
      </c>
      <c r="J5" s="8">
        <v>5.3</v>
      </c>
      <c r="K5" s="9">
        <v>6.02</v>
      </c>
      <c r="L5" s="3">
        <v>25</v>
      </c>
      <c r="M5" s="8">
        <v>20.399999999999999</v>
      </c>
      <c r="N5" s="8">
        <v>5.5</v>
      </c>
      <c r="O5" s="8">
        <v>47.4</v>
      </c>
      <c r="P5" s="8">
        <v>1.4</v>
      </c>
      <c r="Q5" s="8">
        <v>6.3</v>
      </c>
      <c r="R5" s="5">
        <v>45979.438981481479</v>
      </c>
      <c r="S5" s="5">
        <v>45979.439062500001</v>
      </c>
      <c r="T5" s="6">
        <v>8.1018515629693866E-5</v>
      </c>
    </row>
    <row r="6" spans="1:20" hidden="1" x14ac:dyDescent="0.3">
      <c r="A6" s="2">
        <v>31</v>
      </c>
      <c r="B6" t="s">
        <v>81</v>
      </c>
      <c r="C6" t="s">
        <v>13</v>
      </c>
      <c r="D6" t="s">
        <v>79</v>
      </c>
      <c r="E6" t="s">
        <v>82</v>
      </c>
      <c r="F6" t="s">
        <v>75</v>
      </c>
      <c r="G6" s="8">
        <v>12.7</v>
      </c>
      <c r="H6" s="8">
        <v>45.3</v>
      </c>
      <c r="I6" s="8">
        <v>1.6</v>
      </c>
      <c r="J6" s="8">
        <v>5.5</v>
      </c>
      <c r="K6" s="9">
        <v>6.11</v>
      </c>
      <c r="L6" s="3">
        <v>25</v>
      </c>
      <c r="M6" s="8">
        <v>23.5</v>
      </c>
      <c r="N6" s="8">
        <v>8.1999999999999993</v>
      </c>
      <c r="O6" s="8">
        <v>57.1</v>
      </c>
      <c r="P6" s="8">
        <v>2.9</v>
      </c>
      <c r="Q6" s="8">
        <v>8.9</v>
      </c>
      <c r="R6" s="5">
        <v>45979.43917824074</v>
      </c>
      <c r="S6" s="5">
        <v>45979.439305555556</v>
      </c>
      <c r="T6" s="6">
        <v>1.2731482274830341E-4</v>
      </c>
    </row>
    <row r="7" spans="1:20" x14ac:dyDescent="0.3">
      <c r="A7" s="2">
        <v>32</v>
      </c>
      <c r="B7" t="s">
        <v>83</v>
      </c>
      <c r="C7" t="s">
        <v>13</v>
      </c>
      <c r="D7" t="s">
        <v>79</v>
      </c>
      <c r="E7" t="s">
        <v>18</v>
      </c>
      <c r="F7" t="s">
        <v>75</v>
      </c>
      <c r="G7" s="8">
        <v>12.2</v>
      </c>
      <c r="H7" s="8">
        <v>46.8</v>
      </c>
      <c r="I7" s="8">
        <v>1.6</v>
      </c>
      <c r="J7" s="8">
        <v>6.2</v>
      </c>
      <c r="K7" s="9">
        <v>5.0999999999999996</v>
      </c>
      <c r="L7" s="3">
        <v>25</v>
      </c>
      <c r="M7" s="8">
        <v>29</v>
      </c>
      <c r="N7" s="8">
        <v>19.5</v>
      </c>
      <c r="O7" s="8">
        <v>67.599999999999994</v>
      </c>
      <c r="P7" s="8">
        <v>10.5</v>
      </c>
      <c r="Q7" s="8">
        <v>17.399999999999999</v>
      </c>
      <c r="R7" s="5">
        <v>45979.447835648149</v>
      </c>
      <c r="S7" s="5">
        <v>45979.44804398148</v>
      </c>
      <c r="T7" s="6">
        <v>2.0833333837799728E-4</v>
      </c>
    </row>
    <row r="8" spans="1:20" x14ac:dyDescent="0.3">
      <c r="A8" s="2">
        <v>33</v>
      </c>
      <c r="B8" t="s">
        <v>84</v>
      </c>
      <c r="C8" t="s">
        <v>13</v>
      </c>
      <c r="D8" t="s">
        <v>79</v>
      </c>
      <c r="E8" t="s">
        <v>18</v>
      </c>
      <c r="F8" t="s">
        <v>75</v>
      </c>
      <c r="G8" s="8">
        <v>12.1</v>
      </c>
      <c r="H8" s="8">
        <v>46</v>
      </c>
      <c r="I8" s="8">
        <v>1.7</v>
      </c>
      <c r="J8" s="8">
        <v>6.2</v>
      </c>
      <c r="K8" s="9">
        <v>5.09</v>
      </c>
      <c r="L8" s="3">
        <v>25</v>
      </c>
      <c r="M8" s="8">
        <v>25.5</v>
      </c>
      <c r="N8" s="8">
        <v>16.7</v>
      </c>
      <c r="O8" s="8">
        <v>62.2</v>
      </c>
      <c r="P8" s="8">
        <v>9.5</v>
      </c>
      <c r="Q8" s="8">
        <v>17</v>
      </c>
      <c r="R8" s="5">
        <v>45979.448148148149</v>
      </c>
      <c r="S8" s="5">
        <v>45979.448263888888</v>
      </c>
      <c r="T8" s="6">
        <v>1.1574075324460864E-4</v>
      </c>
    </row>
    <row r="9" spans="1:20" x14ac:dyDescent="0.3">
      <c r="A9" s="2">
        <v>34</v>
      </c>
      <c r="B9" t="s">
        <v>85</v>
      </c>
      <c r="C9" t="s">
        <v>13</v>
      </c>
      <c r="D9" t="s">
        <v>79</v>
      </c>
      <c r="E9" t="s">
        <v>18</v>
      </c>
      <c r="F9" t="s">
        <v>75</v>
      </c>
      <c r="G9" s="8">
        <v>12.2</v>
      </c>
      <c r="H9" s="8">
        <v>45.9</v>
      </c>
      <c r="I9" s="8">
        <v>1.7</v>
      </c>
      <c r="J9" s="8">
        <v>6.4</v>
      </c>
      <c r="K9" s="9">
        <v>5.1100000000000003</v>
      </c>
      <c r="L9" s="3">
        <v>25</v>
      </c>
      <c r="M9" s="8">
        <v>27.3</v>
      </c>
      <c r="N9" s="8">
        <v>18.2</v>
      </c>
      <c r="O9" s="8">
        <v>67.2</v>
      </c>
      <c r="P9" s="8">
        <v>10.7</v>
      </c>
      <c r="Q9" s="8">
        <v>18.3</v>
      </c>
      <c r="R9" s="5">
        <v>45979.448391203703</v>
      </c>
      <c r="S9" s="5">
        <v>45979.448587962965</v>
      </c>
      <c r="T9" s="6">
        <v>1.9675926887430251E-4</v>
      </c>
    </row>
    <row r="10" spans="1:20" hidden="1" x14ac:dyDescent="0.3">
      <c r="A10" s="2">
        <v>35</v>
      </c>
      <c r="B10" t="s">
        <v>86</v>
      </c>
      <c r="C10" t="s">
        <v>13</v>
      </c>
      <c r="D10" t="s">
        <v>79</v>
      </c>
      <c r="E10" t="s">
        <v>22</v>
      </c>
      <c r="F10" t="s">
        <v>75</v>
      </c>
      <c r="G10" s="8">
        <v>12.3</v>
      </c>
      <c r="H10" s="8">
        <v>45.3</v>
      </c>
      <c r="I10" s="8">
        <v>1.6</v>
      </c>
      <c r="J10" s="8">
        <v>5.2</v>
      </c>
      <c r="K10" s="9">
        <v>5.43</v>
      </c>
      <c r="L10" s="3">
        <v>25</v>
      </c>
      <c r="M10" s="8">
        <v>22</v>
      </c>
      <c r="N10" s="8">
        <v>9.8000000000000007</v>
      </c>
      <c r="O10" s="8">
        <v>50.1</v>
      </c>
      <c r="P10" s="8">
        <v>5.5</v>
      </c>
      <c r="Q10" s="8">
        <v>9.8000000000000007</v>
      </c>
      <c r="R10" s="5">
        <v>45979.664560185185</v>
      </c>
      <c r="S10" s="5">
        <v>45979.664803240739</v>
      </c>
      <c r="T10" s="6">
        <v>2.430555468890816E-4</v>
      </c>
    </row>
    <row r="11" spans="1:20" hidden="1" x14ac:dyDescent="0.3">
      <c r="A11" s="2">
        <v>36</v>
      </c>
      <c r="B11" t="s">
        <v>87</v>
      </c>
      <c r="C11" t="s">
        <v>13</v>
      </c>
      <c r="D11" t="s">
        <v>79</v>
      </c>
      <c r="E11" t="s">
        <v>22</v>
      </c>
      <c r="F11" t="s">
        <v>75</v>
      </c>
      <c r="G11" s="8">
        <v>12.2</v>
      </c>
      <c r="H11" s="8">
        <v>45.2</v>
      </c>
      <c r="I11" s="8">
        <v>1.5</v>
      </c>
      <c r="J11" s="8">
        <v>5.3</v>
      </c>
      <c r="K11" s="9">
        <v>5.49</v>
      </c>
      <c r="L11" s="3">
        <v>25</v>
      </c>
      <c r="M11" s="8">
        <v>19</v>
      </c>
      <c r="N11" s="8">
        <v>8.4</v>
      </c>
      <c r="O11" s="8">
        <v>44.4</v>
      </c>
      <c r="P11" s="8">
        <v>6.1</v>
      </c>
      <c r="Q11" s="8">
        <v>8.3000000000000007</v>
      </c>
      <c r="R11" s="5">
        <v>45979.664918981478</v>
      </c>
      <c r="S11" s="5">
        <v>45979.665046296293</v>
      </c>
      <c r="T11" s="6">
        <v>1.2731482274830341E-4</v>
      </c>
    </row>
    <row r="12" spans="1:20" hidden="1" x14ac:dyDescent="0.3">
      <c r="A12" s="2">
        <v>37</v>
      </c>
      <c r="B12" t="s">
        <v>88</v>
      </c>
      <c r="C12" t="s">
        <v>13</v>
      </c>
      <c r="D12" t="s">
        <v>79</v>
      </c>
      <c r="E12" t="s">
        <v>22</v>
      </c>
      <c r="F12" t="s">
        <v>75</v>
      </c>
      <c r="G12" s="8">
        <v>12.2</v>
      </c>
      <c r="H12" s="8">
        <v>44.7</v>
      </c>
      <c r="I12" s="8">
        <v>1.6</v>
      </c>
      <c r="J12" s="8">
        <v>5.3</v>
      </c>
      <c r="K12" s="9">
        <v>5.41</v>
      </c>
      <c r="L12" s="3">
        <v>25</v>
      </c>
      <c r="M12" s="8">
        <v>19.100000000000001</v>
      </c>
      <c r="N12" s="8">
        <v>7.5</v>
      </c>
      <c r="O12" s="8">
        <v>46.6</v>
      </c>
      <c r="P12" s="8">
        <v>5.4</v>
      </c>
      <c r="Q12" s="8">
        <v>8.8000000000000007</v>
      </c>
      <c r="R12" s="5">
        <v>45979.665231481478</v>
      </c>
      <c r="S12" s="5">
        <v>45979.665393518517</v>
      </c>
      <c r="T12" s="6">
        <v>1.6203703125938773E-4</v>
      </c>
    </row>
    <row r="13" spans="1:20" x14ac:dyDescent="0.3">
      <c r="A13" s="2">
        <v>38</v>
      </c>
      <c r="B13" t="s">
        <v>89</v>
      </c>
      <c r="C13" t="s">
        <v>13</v>
      </c>
      <c r="D13" t="s">
        <v>79</v>
      </c>
      <c r="E13" t="s">
        <v>25</v>
      </c>
      <c r="F13" t="s">
        <v>75</v>
      </c>
      <c r="G13" s="8">
        <v>11.9</v>
      </c>
      <c r="H13" s="8">
        <v>46.3</v>
      </c>
      <c r="I13" s="8">
        <v>1.5</v>
      </c>
      <c r="J13" s="8">
        <v>6</v>
      </c>
      <c r="K13" s="9">
        <v>5.04</v>
      </c>
      <c r="L13" s="3">
        <v>25</v>
      </c>
      <c r="M13" s="8">
        <v>27.2</v>
      </c>
      <c r="N13" s="8">
        <v>16.600000000000001</v>
      </c>
      <c r="O13" s="8">
        <v>67.8</v>
      </c>
      <c r="P13" s="8">
        <v>8.4</v>
      </c>
      <c r="Q13" s="8">
        <v>15.2</v>
      </c>
      <c r="R13" s="5">
        <v>45979.677094907405</v>
      </c>
      <c r="S13" s="5">
        <v>45979.67732638889</v>
      </c>
      <c r="T13" s="6">
        <v>2.430555468890816E-4</v>
      </c>
    </row>
    <row r="14" spans="1:20" x14ac:dyDescent="0.3">
      <c r="A14" s="2">
        <v>39</v>
      </c>
      <c r="B14" t="s">
        <v>90</v>
      </c>
      <c r="C14" t="s">
        <v>13</v>
      </c>
      <c r="D14" t="s">
        <v>79</v>
      </c>
      <c r="E14" t="s">
        <v>25</v>
      </c>
      <c r="F14" t="s">
        <v>75</v>
      </c>
      <c r="G14" s="8">
        <v>12</v>
      </c>
      <c r="H14" s="8">
        <v>46.6</v>
      </c>
      <c r="I14" s="8">
        <v>1.6</v>
      </c>
      <c r="J14" s="8">
        <v>6.3</v>
      </c>
      <c r="K14" s="9">
        <v>5.03</v>
      </c>
      <c r="L14" s="3">
        <v>25</v>
      </c>
      <c r="M14" s="8">
        <v>32.700000000000003</v>
      </c>
      <c r="N14" s="8">
        <v>21.9</v>
      </c>
      <c r="O14" s="8">
        <v>72</v>
      </c>
      <c r="P14" s="8">
        <v>11.9</v>
      </c>
      <c r="Q14" s="8">
        <v>19.100000000000001</v>
      </c>
      <c r="R14" s="5">
        <v>45979.677581018521</v>
      </c>
      <c r="S14" s="5">
        <v>45979.677824074075</v>
      </c>
      <c r="T14" s="6">
        <v>2.430555468890816E-4</v>
      </c>
    </row>
    <row r="15" spans="1:20" x14ac:dyDescent="0.3">
      <c r="A15" s="2">
        <v>40</v>
      </c>
      <c r="B15" t="s">
        <v>91</v>
      </c>
      <c r="C15" t="s">
        <v>13</v>
      </c>
      <c r="D15" t="s">
        <v>79</v>
      </c>
      <c r="E15" t="s">
        <v>25</v>
      </c>
      <c r="F15" t="s">
        <v>75</v>
      </c>
      <c r="G15" s="8">
        <v>11.9</v>
      </c>
      <c r="H15" s="8">
        <v>46.2</v>
      </c>
      <c r="I15" s="8">
        <v>1.7</v>
      </c>
      <c r="J15" s="8">
        <v>6.8</v>
      </c>
      <c r="K15" s="9">
        <v>4.99</v>
      </c>
      <c r="L15" s="3">
        <v>25</v>
      </c>
      <c r="M15" s="8">
        <v>34.700000000000003</v>
      </c>
      <c r="N15" s="8">
        <v>23.5</v>
      </c>
      <c r="O15" s="8">
        <v>73.900000000000006</v>
      </c>
      <c r="P15" s="8">
        <v>13.4</v>
      </c>
      <c r="Q15" s="8">
        <v>21</v>
      </c>
      <c r="R15" s="5">
        <v>45979.677939814814</v>
      </c>
      <c r="S15" s="5">
        <v>45979.678067129629</v>
      </c>
      <c r="T15" s="6">
        <v>1.1574075324460864E-4</v>
      </c>
    </row>
    <row r="16" spans="1:20" hidden="1" x14ac:dyDescent="0.3">
      <c r="A16" s="2">
        <v>41</v>
      </c>
      <c r="B16" t="s">
        <v>92</v>
      </c>
      <c r="C16" t="s">
        <v>13</v>
      </c>
      <c r="D16" t="s">
        <v>79</v>
      </c>
      <c r="E16" t="s">
        <v>29</v>
      </c>
      <c r="F16" t="s">
        <v>75</v>
      </c>
      <c r="G16" s="8">
        <v>12.1</v>
      </c>
      <c r="H16" s="8">
        <v>45.7</v>
      </c>
      <c r="I16" s="8">
        <v>1.6</v>
      </c>
      <c r="J16" s="8">
        <v>5.4</v>
      </c>
      <c r="K16" s="9">
        <v>5.28</v>
      </c>
      <c r="L16" s="3">
        <v>25</v>
      </c>
      <c r="M16" s="8">
        <v>20.8</v>
      </c>
      <c r="N16" s="8">
        <v>11.5</v>
      </c>
      <c r="O16" s="8">
        <v>46.4</v>
      </c>
      <c r="P16" s="8">
        <v>6.9</v>
      </c>
      <c r="Q16" s="8">
        <v>10.7</v>
      </c>
      <c r="R16" s="5">
        <v>45979.686064814814</v>
      </c>
      <c r="S16" s="5">
        <v>45979.686342592591</v>
      </c>
      <c r="T16" s="6">
        <v>2.7777778450399637E-4</v>
      </c>
    </row>
    <row r="17" spans="1:20" hidden="1" x14ac:dyDescent="0.3">
      <c r="A17" s="2">
        <v>42</v>
      </c>
      <c r="B17" t="s">
        <v>93</v>
      </c>
      <c r="C17" t="s">
        <v>13</v>
      </c>
      <c r="D17" t="s">
        <v>79</v>
      </c>
      <c r="E17" t="s">
        <v>29</v>
      </c>
      <c r="F17" t="s">
        <v>75</v>
      </c>
      <c r="G17" s="8">
        <v>11.9</v>
      </c>
      <c r="H17" s="8">
        <v>45.4</v>
      </c>
      <c r="I17" s="8">
        <v>1.6</v>
      </c>
      <c r="J17" s="8">
        <v>5.5</v>
      </c>
      <c r="K17" s="9">
        <v>5.4</v>
      </c>
      <c r="L17" s="3">
        <v>25</v>
      </c>
      <c r="M17" s="8">
        <v>19.7</v>
      </c>
      <c r="N17" s="8">
        <v>11.2</v>
      </c>
      <c r="O17" s="8">
        <v>43.6</v>
      </c>
      <c r="P17" s="8">
        <v>8.6999999999999993</v>
      </c>
      <c r="Q17" s="8">
        <v>10.4</v>
      </c>
      <c r="R17" s="5">
        <v>45979.686539351853</v>
      </c>
      <c r="S17" s="5">
        <v>45979.686898148146</v>
      </c>
      <c r="T17" s="6">
        <v>3.5879630013369024E-4</v>
      </c>
    </row>
    <row r="18" spans="1:20" hidden="1" x14ac:dyDescent="0.3">
      <c r="A18" s="2">
        <v>43</v>
      </c>
      <c r="B18" t="s">
        <v>94</v>
      </c>
      <c r="C18" t="s">
        <v>13</v>
      </c>
      <c r="D18" t="s">
        <v>79</v>
      </c>
      <c r="E18" t="s">
        <v>29</v>
      </c>
      <c r="F18" t="s">
        <v>75</v>
      </c>
      <c r="G18" s="8">
        <v>12</v>
      </c>
      <c r="H18" s="8">
        <v>45.1</v>
      </c>
      <c r="I18" s="8">
        <v>1.6</v>
      </c>
      <c r="J18" s="8">
        <v>5.6</v>
      </c>
      <c r="K18" s="9">
        <v>5.32</v>
      </c>
      <c r="L18" s="3">
        <v>25</v>
      </c>
      <c r="M18" s="8">
        <v>19.600000000000001</v>
      </c>
      <c r="N18" s="8">
        <v>10.8</v>
      </c>
      <c r="O18" s="8">
        <v>41.7</v>
      </c>
      <c r="P18" s="8">
        <v>8.6999999999999993</v>
      </c>
      <c r="Q18" s="8">
        <v>10.199999999999999</v>
      </c>
      <c r="R18" s="5">
        <v>45979.687013888892</v>
      </c>
      <c r="S18" s="5">
        <v>45979.687326388892</v>
      </c>
      <c r="T18" s="6">
        <v>3.1249999301508069E-4</v>
      </c>
    </row>
    <row r="19" spans="1:20" hidden="1" x14ac:dyDescent="0.3">
      <c r="A19" s="2">
        <v>44</v>
      </c>
      <c r="B19" t="s">
        <v>95</v>
      </c>
      <c r="C19" t="s">
        <v>13</v>
      </c>
      <c r="D19" t="s">
        <v>79</v>
      </c>
      <c r="E19" t="s">
        <v>33</v>
      </c>
      <c r="F19" t="s">
        <v>75</v>
      </c>
      <c r="G19" s="8">
        <v>12.1</v>
      </c>
      <c r="H19" s="8">
        <v>45.8</v>
      </c>
      <c r="I19" s="8">
        <v>1.4</v>
      </c>
      <c r="J19" s="8">
        <v>5.6</v>
      </c>
      <c r="K19" s="9">
        <v>5.36</v>
      </c>
      <c r="L19" s="3">
        <v>25</v>
      </c>
      <c r="M19" s="8">
        <v>21.1</v>
      </c>
      <c r="N19" s="8">
        <v>10.7</v>
      </c>
      <c r="O19" s="8">
        <v>54.7</v>
      </c>
      <c r="P19" s="8">
        <v>5.8</v>
      </c>
      <c r="Q19" s="8">
        <v>10.1</v>
      </c>
      <c r="R19" s="5">
        <v>45979.704930555556</v>
      </c>
      <c r="S19" s="5">
        <v>45979.705092592594</v>
      </c>
      <c r="T19" s="6">
        <v>1.6203703125938773E-4</v>
      </c>
    </row>
    <row r="20" spans="1:20" hidden="1" x14ac:dyDescent="0.3">
      <c r="A20" s="2">
        <v>45</v>
      </c>
      <c r="B20" t="s">
        <v>96</v>
      </c>
      <c r="C20" t="s">
        <v>13</v>
      </c>
      <c r="D20" t="s">
        <v>79</v>
      </c>
      <c r="E20" t="s">
        <v>33</v>
      </c>
      <c r="F20" t="s">
        <v>75</v>
      </c>
      <c r="G20" s="8">
        <v>12.2</v>
      </c>
      <c r="H20" s="8">
        <v>45</v>
      </c>
      <c r="I20" s="8">
        <v>1.5</v>
      </c>
      <c r="J20" s="8">
        <v>5.5</v>
      </c>
      <c r="K20" s="9">
        <v>5.27</v>
      </c>
      <c r="L20" s="3">
        <v>25</v>
      </c>
      <c r="M20" s="8">
        <v>20.3</v>
      </c>
      <c r="N20" s="8">
        <v>9.1999999999999993</v>
      </c>
      <c r="O20" s="8">
        <v>56.6</v>
      </c>
      <c r="P20" s="8">
        <v>5.3</v>
      </c>
      <c r="Q20" s="8">
        <v>10.4</v>
      </c>
      <c r="R20" s="5">
        <v>45979.705185185187</v>
      </c>
      <c r="S20" s="5">
        <v>45979.705347222225</v>
      </c>
      <c r="T20" s="6">
        <v>1.6203703125938773E-4</v>
      </c>
    </row>
    <row r="21" spans="1:20" hidden="1" x14ac:dyDescent="0.3">
      <c r="A21" s="2">
        <v>46</v>
      </c>
      <c r="B21" t="s">
        <v>97</v>
      </c>
      <c r="C21" t="s">
        <v>13</v>
      </c>
      <c r="D21" t="s">
        <v>79</v>
      </c>
      <c r="E21" t="s">
        <v>33</v>
      </c>
      <c r="F21" t="s">
        <v>75</v>
      </c>
      <c r="G21" s="8">
        <v>12.1</v>
      </c>
      <c r="H21" s="8">
        <v>45.3</v>
      </c>
      <c r="I21" s="8">
        <v>1.6</v>
      </c>
      <c r="J21" s="8">
        <v>5.8</v>
      </c>
      <c r="K21" s="9">
        <v>5.35</v>
      </c>
      <c r="L21" s="3">
        <v>25</v>
      </c>
      <c r="M21" s="8">
        <v>23.9</v>
      </c>
      <c r="N21" s="8">
        <v>12.4</v>
      </c>
      <c r="O21" s="8">
        <v>56.1</v>
      </c>
      <c r="P21" s="8">
        <v>8.1</v>
      </c>
      <c r="Q21" s="8">
        <v>12.8</v>
      </c>
      <c r="R21" s="5">
        <v>45979.705451388887</v>
      </c>
      <c r="S21" s="5">
        <v>45979.705729166664</v>
      </c>
      <c r="T21" s="6">
        <v>2.7777778450399637E-4</v>
      </c>
    </row>
    <row r="22" spans="1:20" hidden="1" x14ac:dyDescent="0.3">
      <c r="B22" s="1" t="s">
        <v>34</v>
      </c>
      <c r="G22" s="10">
        <f t="shared" ref="G22:Q22" si="0">AVERAGE(G4:G21)</f>
        <v>12.194444444444443</v>
      </c>
      <c r="H22" s="10">
        <f t="shared" si="0"/>
        <v>45.616666666666667</v>
      </c>
      <c r="I22" s="10">
        <f t="shared" si="0"/>
        <v>1.5944444444444446</v>
      </c>
      <c r="J22" s="10">
        <f t="shared" si="0"/>
        <v>5.7444444444444436</v>
      </c>
      <c r="K22" s="11">
        <f t="shared" si="0"/>
        <v>5.3816666666666668</v>
      </c>
      <c r="L22" s="7">
        <f t="shared" si="0"/>
        <v>25</v>
      </c>
      <c r="M22" s="10">
        <f t="shared" si="0"/>
        <v>23.811111111111114</v>
      </c>
      <c r="N22" s="10">
        <f t="shared" si="0"/>
        <v>12.744444444444445</v>
      </c>
      <c r="O22" s="10">
        <f t="shared" si="0"/>
        <v>56.161111111111119</v>
      </c>
      <c r="P22" s="10">
        <f t="shared" si="0"/>
        <v>7.3055555555555554</v>
      </c>
      <c r="Q22" s="10">
        <f t="shared" si="0"/>
        <v>12.388888888888889</v>
      </c>
    </row>
    <row r="23" spans="1:20" hidden="1" x14ac:dyDescent="0.3">
      <c r="B23" s="1" t="s">
        <v>35</v>
      </c>
      <c r="G23" s="10">
        <f t="shared" ref="G23:Q23" si="1">MIN(G4:G21)</f>
        <v>11.9</v>
      </c>
      <c r="H23" s="10">
        <f t="shared" si="1"/>
        <v>44.7</v>
      </c>
      <c r="I23" s="10">
        <f t="shared" si="1"/>
        <v>1.4</v>
      </c>
      <c r="J23" s="10">
        <f t="shared" si="1"/>
        <v>5.2</v>
      </c>
      <c r="K23" s="11">
        <f t="shared" si="1"/>
        <v>4.99</v>
      </c>
      <c r="L23" s="7">
        <f t="shared" si="1"/>
        <v>25</v>
      </c>
      <c r="M23" s="10">
        <f t="shared" si="1"/>
        <v>19</v>
      </c>
      <c r="N23" s="10">
        <f t="shared" si="1"/>
        <v>5.5</v>
      </c>
      <c r="O23" s="10">
        <f t="shared" si="1"/>
        <v>41.7</v>
      </c>
      <c r="P23" s="10">
        <f t="shared" si="1"/>
        <v>1.4</v>
      </c>
      <c r="Q23" s="10">
        <f t="shared" si="1"/>
        <v>6.3</v>
      </c>
    </row>
    <row r="24" spans="1:20" hidden="1" x14ac:dyDescent="0.3">
      <c r="B24" s="1" t="s">
        <v>36</v>
      </c>
      <c r="G24" s="10">
        <f t="shared" ref="G24:Q24" si="2">MAX(G4:G21)</f>
        <v>12.8</v>
      </c>
      <c r="H24" s="10">
        <f t="shared" si="2"/>
        <v>46.8</v>
      </c>
      <c r="I24" s="10">
        <f t="shared" si="2"/>
        <v>1.7</v>
      </c>
      <c r="J24" s="10">
        <f t="shared" si="2"/>
        <v>6.8</v>
      </c>
      <c r="K24" s="11">
        <f t="shared" si="2"/>
        <v>6.11</v>
      </c>
      <c r="L24" s="7">
        <f t="shared" si="2"/>
        <v>25</v>
      </c>
      <c r="M24" s="10">
        <f t="shared" si="2"/>
        <v>34.700000000000003</v>
      </c>
      <c r="N24" s="10">
        <f t="shared" si="2"/>
        <v>23.5</v>
      </c>
      <c r="O24" s="10">
        <f t="shared" si="2"/>
        <v>73.900000000000006</v>
      </c>
      <c r="P24" s="10">
        <f t="shared" si="2"/>
        <v>13.4</v>
      </c>
      <c r="Q24" s="10">
        <f t="shared" si="2"/>
        <v>21</v>
      </c>
    </row>
    <row r="25" spans="1:20" hidden="1" x14ac:dyDescent="0.3">
      <c r="B25" s="1" t="s">
        <v>37</v>
      </c>
      <c r="G25" s="10">
        <f t="shared" ref="G25:Q25" si="3">STDEV(G4:G21)</f>
        <v>0.26228009774514455</v>
      </c>
      <c r="H25" s="10">
        <f t="shared" si="3"/>
        <v>0.58233808656039565</v>
      </c>
      <c r="I25" s="10">
        <f t="shared" si="3"/>
        <v>8.0236578296510291E-2</v>
      </c>
      <c r="J25" s="10">
        <f t="shared" si="3"/>
        <v>0.4617386862491436</v>
      </c>
      <c r="K25" s="11">
        <f t="shared" si="3"/>
        <v>0.3503821443207738</v>
      </c>
      <c r="L25" s="7">
        <f t="shared" si="3"/>
        <v>0</v>
      </c>
      <c r="M25" s="10">
        <f t="shared" si="3"/>
        <v>4.7015502936157842</v>
      </c>
      <c r="N25" s="10">
        <f t="shared" si="3"/>
        <v>5.3281960551967646</v>
      </c>
      <c r="O25" s="10">
        <f t="shared" si="3"/>
        <v>10.287750505213271</v>
      </c>
      <c r="P25" s="10">
        <f t="shared" si="3"/>
        <v>3.2957141906032708</v>
      </c>
      <c r="Q25" s="10">
        <f t="shared" si="3"/>
        <v>4.4167980002670921</v>
      </c>
    </row>
    <row r="27" spans="1:20" x14ac:dyDescent="0.3">
      <c r="B27" s="1" t="s">
        <v>38</v>
      </c>
      <c r="G27" s="10" t="s">
        <v>39</v>
      </c>
      <c r="H27" s="10" t="s">
        <v>39</v>
      </c>
      <c r="I27" s="10" t="s">
        <v>39</v>
      </c>
      <c r="J27" s="10" t="s">
        <v>39</v>
      </c>
      <c r="K27" s="11" t="s">
        <v>39</v>
      </c>
      <c r="L27" s="7" t="s">
        <v>39</v>
      </c>
      <c r="M27" s="10" t="s">
        <v>39</v>
      </c>
      <c r="N27" s="10" t="s">
        <v>39</v>
      </c>
      <c r="O27" s="10" t="s">
        <v>39</v>
      </c>
      <c r="P27" s="10" t="s">
        <v>39</v>
      </c>
      <c r="Q27" s="10" t="s">
        <v>39</v>
      </c>
    </row>
  </sheetData>
  <autoFilter ref="A3:T25" xr:uid="{65E7F1E3-CE13-46F6-8DB6-200882045E03}">
    <filterColumn colId="4">
      <filters>
        <filter val="L1 - NBL"/>
        <filter val="L1 APM - LBF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6E61-22FD-4180-87FE-AD2274B8C83A}">
  <sheetPr filterMode="1"/>
  <dimension ref="A1:V28"/>
  <sheetViews>
    <sheetView topLeftCell="B1" workbookViewId="0">
      <selection activeCell="E31" sqref="E31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9.5546875" customWidth="1"/>
    <col min="4" max="4" width="10.109375" customWidth="1"/>
    <col min="5" max="5" width="12.6640625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98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41</v>
      </c>
      <c r="H3" s="2" t="s">
        <v>42</v>
      </c>
      <c r="I3" s="2" t="s">
        <v>43</v>
      </c>
      <c r="J3" s="2" t="s">
        <v>99</v>
      </c>
      <c r="K3" s="2" t="s">
        <v>44</v>
      </c>
      <c r="L3" s="2" t="s">
        <v>45</v>
      </c>
      <c r="M3" s="2" t="s">
        <v>7</v>
      </c>
      <c r="N3" s="2" t="s">
        <v>48</v>
      </c>
      <c r="O3" s="2" t="s">
        <v>49</v>
      </c>
      <c r="P3" s="2" t="s">
        <v>50</v>
      </c>
      <c r="Q3" s="2" t="s">
        <v>100</v>
      </c>
      <c r="R3" s="2" t="s">
        <v>51</v>
      </c>
      <c r="S3" s="2" t="s">
        <v>52</v>
      </c>
      <c r="T3" s="2" t="s">
        <v>9</v>
      </c>
      <c r="U3" s="2" t="s">
        <v>10</v>
      </c>
      <c r="V3" s="2" t="s">
        <v>11</v>
      </c>
    </row>
    <row r="4" spans="1:22" hidden="1" x14ac:dyDescent="0.3">
      <c r="A4" s="2">
        <v>47</v>
      </c>
      <c r="B4" t="s">
        <v>101</v>
      </c>
      <c r="C4" t="s">
        <v>13</v>
      </c>
      <c r="D4" t="s">
        <v>102</v>
      </c>
      <c r="E4" t="s">
        <v>15</v>
      </c>
      <c r="F4" t="s">
        <v>98</v>
      </c>
      <c r="G4" s="8">
        <v>11</v>
      </c>
      <c r="H4" s="8">
        <v>35.5</v>
      </c>
      <c r="I4" s="8">
        <v>2</v>
      </c>
      <c r="J4" s="8">
        <v>4.7</v>
      </c>
      <c r="K4" s="8">
        <v>12.4</v>
      </c>
      <c r="L4" s="8">
        <v>6.1</v>
      </c>
      <c r="M4" s="3">
        <v>25</v>
      </c>
      <c r="N4" s="8">
        <v>5.5</v>
      </c>
      <c r="O4" s="8">
        <v>7.4</v>
      </c>
      <c r="P4" s="8">
        <v>11.1</v>
      </c>
      <c r="Q4" s="8">
        <v>12</v>
      </c>
      <c r="R4" s="8">
        <v>8.1999999999999993</v>
      </c>
      <c r="S4" s="8">
        <v>5.0999999999999996</v>
      </c>
      <c r="T4" s="5">
        <v>45979.439606481479</v>
      </c>
      <c r="U4" s="5">
        <v>45979.439768518518</v>
      </c>
      <c r="V4" s="6">
        <v>1.6203703125938773E-4</v>
      </c>
    </row>
    <row r="5" spans="1:22" hidden="1" x14ac:dyDescent="0.3">
      <c r="A5" s="2">
        <v>48</v>
      </c>
      <c r="B5" t="s">
        <v>103</v>
      </c>
      <c r="C5" t="s">
        <v>13</v>
      </c>
      <c r="D5" t="s">
        <v>102</v>
      </c>
      <c r="E5" t="s">
        <v>15</v>
      </c>
      <c r="F5" t="s">
        <v>98</v>
      </c>
      <c r="G5" s="8">
        <v>11.1</v>
      </c>
      <c r="H5" s="8">
        <v>34.4</v>
      </c>
      <c r="I5" s="8">
        <v>2.4</v>
      </c>
      <c r="J5" s="8">
        <v>4.9000000000000004</v>
      </c>
      <c r="K5" s="8">
        <v>13.1</v>
      </c>
      <c r="L5" s="8">
        <v>6</v>
      </c>
      <c r="M5" s="3">
        <v>25</v>
      </c>
      <c r="N5" s="8">
        <v>6.5</v>
      </c>
      <c r="O5" s="8">
        <v>8.5</v>
      </c>
      <c r="P5" s="8">
        <v>13.6</v>
      </c>
      <c r="Q5" s="8">
        <v>13</v>
      </c>
      <c r="R5" s="8">
        <v>9.4</v>
      </c>
      <c r="S5" s="8">
        <v>5.4</v>
      </c>
      <c r="T5" s="5">
        <v>45979.439872685187</v>
      </c>
      <c r="U5" s="5">
        <v>45979.44</v>
      </c>
      <c r="V5" s="6">
        <v>1.2731482274830341E-4</v>
      </c>
    </row>
    <row r="6" spans="1:22" hidden="1" x14ac:dyDescent="0.3">
      <c r="A6" s="2">
        <v>49</v>
      </c>
      <c r="B6" t="s">
        <v>104</v>
      </c>
      <c r="C6" t="s">
        <v>13</v>
      </c>
      <c r="D6" t="s">
        <v>102</v>
      </c>
      <c r="E6" t="s">
        <v>15</v>
      </c>
      <c r="F6" t="s">
        <v>98</v>
      </c>
      <c r="G6" s="8">
        <v>11</v>
      </c>
      <c r="H6" s="8">
        <v>35</v>
      </c>
      <c r="I6" s="8">
        <v>2.5</v>
      </c>
      <c r="J6" s="8">
        <v>5.2</v>
      </c>
      <c r="K6" s="8">
        <v>12.7</v>
      </c>
      <c r="L6" s="8">
        <v>6.1</v>
      </c>
      <c r="M6" s="3">
        <v>25</v>
      </c>
      <c r="N6" s="8">
        <v>6.7</v>
      </c>
      <c r="O6" s="8">
        <v>9.5</v>
      </c>
      <c r="P6" s="8">
        <v>16</v>
      </c>
      <c r="Q6" s="8">
        <v>16.399999999999999</v>
      </c>
      <c r="R6" s="8">
        <v>11.4</v>
      </c>
      <c r="S6" s="8">
        <v>6.6</v>
      </c>
      <c r="T6" s="5">
        <v>45979.440104166664</v>
      </c>
      <c r="U6" s="5">
        <v>45979.44023148148</v>
      </c>
      <c r="V6" s="6">
        <v>1.2731482274830341E-4</v>
      </c>
    </row>
    <row r="7" spans="1:22" x14ac:dyDescent="0.3">
      <c r="A7" s="2">
        <v>50</v>
      </c>
      <c r="B7" t="s">
        <v>105</v>
      </c>
      <c r="C7" t="s">
        <v>13</v>
      </c>
      <c r="D7" t="s">
        <v>102</v>
      </c>
      <c r="E7" t="s">
        <v>18</v>
      </c>
      <c r="F7" t="s">
        <v>98</v>
      </c>
      <c r="G7" s="8">
        <v>10.9</v>
      </c>
      <c r="H7" s="8">
        <v>35.200000000000003</v>
      </c>
      <c r="I7" s="8">
        <v>2.8</v>
      </c>
      <c r="J7" s="8">
        <v>5.9</v>
      </c>
      <c r="K7" s="8">
        <v>12.7</v>
      </c>
      <c r="L7" s="8">
        <v>5.3</v>
      </c>
      <c r="M7" s="3">
        <v>25</v>
      </c>
      <c r="N7" s="8">
        <v>8.8000000000000007</v>
      </c>
      <c r="O7" s="8">
        <v>11.2</v>
      </c>
      <c r="P7" s="8">
        <v>18.100000000000001</v>
      </c>
      <c r="Q7" s="8">
        <v>24.5</v>
      </c>
      <c r="R7" s="8">
        <v>16.5</v>
      </c>
      <c r="S7" s="8">
        <v>7.7</v>
      </c>
      <c r="T7" s="5">
        <v>45979.445162037038</v>
      </c>
      <c r="U7" s="5">
        <v>45979.4453587963</v>
      </c>
      <c r="V7" s="6">
        <v>1.9675926887430251E-4</v>
      </c>
    </row>
    <row r="8" spans="1:22" x14ac:dyDescent="0.3">
      <c r="A8" s="2">
        <v>51</v>
      </c>
      <c r="B8" t="s">
        <v>106</v>
      </c>
      <c r="C8" t="s">
        <v>13</v>
      </c>
      <c r="D8" t="s">
        <v>102</v>
      </c>
      <c r="E8" t="s">
        <v>18</v>
      </c>
      <c r="F8" t="s">
        <v>98</v>
      </c>
      <c r="G8" s="8">
        <v>11</v>
      </c>
      <c r="H8" s="8">
        <v>36.200000000000003</v>
      </c>
      <c r="I8" s="8">
        <v>2.4</v>
      </c>
      <c r="J8" s="8">
        <v>5.6</v>
      </c>
      <c r="K8" s="8">
        <v>11.7</v>
      </c>
      <c r="L8" s="8">
        <v>5.3</v>
      </c>
      <c r="M8" s="3">
        <v>25</v>
      </c>
      <c r="N8" s="8">
        <v>6.8</v>
      </c>
      <c r="O8" s="8">
        <v>9</v>
      </c>
      <c r="P8" s="8">
        <v>13.7</v>
      </c>
      <c r="Q8" s="8">
        <v>22.2</v>
      </c>
      <c r="R8" s="8">
        <v>15.6</v>
      </c>
      <c r="S8" s="8">
        <v>6.6</v>
      </c>
      <c r="T8" s="5">
        <v>45979.445474537039</v>
      </c>
      <c r="U8" s="5">
        <v>45979.445636574077</v>
      </c>
      <c r="V8" s="6">
        <v>1.6203703125938773E-4</v>
      </c>
    </row>
    <row r="9" spans="1:22" x14ac:dyDescent="0.3">
      <c r="A9" s="2">
        <v>52</v>
      </c>
      <c r="B9" t="s">
        <v>107</v>
      </c>
      <c r="C9" t="s">
        <v>13</v>
      </c>
      <c r="D9" t="s">
        <v>102</v>
      </c>
      <c r="E9" t="s">
        <v>18</v>
      </c>
      <c r="F9" t="s">
        <v>98</v>
      </c>
      <c r="G9" s="8">
        <v>11</v>
      </c>
      <c r="H9" s="8">
        <v>36.1</v>
      </c>
      <c r="I9" s="8">
        <v>2.4</v>
      </c>
      <c r="J9" s="8">
        <v>5.6</v>
      </c>
      <c r="K9" s="8">
        <v>11.9</v>
      </c>
      <c r="L9" s="8">
        <v>5.3</v>
      </c>
      <c r="M9" s="3">
        <v>25</v>
      </c>
      <c r="N9" s="8">
        <v>6.9</v>
      </c>
      <c r="O9" s="8">
        <v>9.9</v>
      </c>
      <c r="P9" s="8">
        <v>14.6</v>
      </c>
      <c r="Q9" s="8">
        <v>22.9</v>
      </c>
      <c r="R9" s="8">
        <v>15.8</v>
      </c>
      <c r="S9" s="8">
        <v>6.4</v>
      </c>
      <c r="T9" s="5">
        <v>45979.445740740739</v>
      </c>
      <c r="U9" s="5">
        <v>45979.445902777778</v>
      </c>
      <c r="V9" s="6">
        <v>1.6203703125938773E-4</v>
      </c>
    </row>
    <row r="10" spans="1:22" hidden="1" x14ac:dyDescent="0.3">
      <c r="A10" s="2">
        <v>53</v>
      </c>
      <c r="B10" t="s">
        <v>108</v>
      </c>
      <c r="C10" t="s">
        <v>13</v>
      </c>
      <c r="D10" t="s">
        <v>102</v>
      </c>
      <c r="E10" t="s">
        <v>22</v>
      </c>
      <c r="F10" t="s">
        <v>98</v>
      </c>
      <c r="G10" s="8">
        <v>10.5</v>
      </c>
      <c r="H10" s="8">
        <v>35.6</v>
      </c>
      <c r="I10" s="8">
        <v>2.1</v>
      </c>
      <c r="J10" s="8">
        <v>5.0999999999999996</v>
      </c>
      <c r="K10" s="8">
        <v>12.2</v>
      </c>
      <c r="L10" s="8">
        <v>6.1</v>
      </c>
      <c r="M10" s="3">
        <v>25</v>
      </c>
      <c r="N10" s="8">
        <v>3.7</v>
      </c>
      <c r="O10" s="8">
        <v>4.9000000000000004</v>
      </c>
      <c r="P10" s="8">
        <v>11.7</v>
      </c>
      <c r="Q10" s="8">
        <v>12.9</v>
      </c>
      <c r="R10" s="8">
        <v>9.6</v>
      </c>
      <c r="S10" s="8">
        <v>4.2</v>
      </c>
      <c r="T10" s="5">
        <v>45979.661724537036</v>
      </c>
      <c r="U10" s="5">
        <v>45979.662083333336</v>
      </c>
      <c r="V10" s="6">
        <v>3.5879630013369024E-4</v>
      </c>
    </row>
    <row r="11" spans="1:22" hidden="1" x14ac:dyDescent="0.3">
      <c r="A11" s="2">
        <v>54</v>
      </c>
      <c r="B11" t="s">
        <v>109</v>
      </c>
      <c r="C11" t="s">
        <v>13</v>
      </c>
      <c r="D11" t="s">
        <v>102</v>
      </c>
      <c r="E11" t="s">
        <v>22</v>
      </c>
      <c r="F11" t="s">
        <v>98</v>
      </c>
      <c r="G11" s="8">
        <v>10.3</v>
      </c>
      <c r="H11" s="8">
        <v>35.700000000000003</v>
      </c>
      <c r="I11" s="8">
        <v>1.9</v>
      </c>
      <c r="J11" s="8">
        <v>4.8</v>
      </c>
      <c r="K11" s="8">
        <v>12.2</v>
      </c>
      <c r="L11" s="8">
        <v>6.1</v>
      </c>
      <c r="M11" s="3">
        <v>25</v>
      </c>
      <c r="N11" s="8">
        <v>3.7</v>
      </c>
      <c r="O11" s="8">
        <v>4.5999999999999996</v>
      </c>
      <c r="P11" s="8">
        <v>9.3000000000000007</v>
      </c>
      <c r="Q11" s="8">
        <v>10.6</v>
      </c>
      <c r="R11" s="8">
        <v>7.4</v>
      </c>
      <c r="S11" s="8">
        <v>3.6</v>
      </c>
      <c r="T11" s="5">
        <v>45979.662199074075</v>
      </c>
      <c r="U11" s="5">
        <v>45979.662361111114</v>
      </c>
      <c r="V11" s="6">
        <v>1.6203703125938773E-4</v>
      </c>
    </row>
    <row r="12" spans="1:22" hidden="1" x14ac:dyDescent="0.3">
      <c r="A12" s="2">
        <v>55</v>
      </c>
      <c r="B12" t="s">
        <v>110</v>
      </c>
      <c r="C12" t="s">
        <v>13</v>
      </c>
      <c r="D12" t="s">
        <v>102</v>
      </c>
      <c r="E12" t="s">
        <v>22</v>
      </c>
      <c r="F12" t="s">
        <v>98</v>
      </c>
      <c r="G12" s="8">
        <v>10.3</v>
      </c>
      <c r="H12" s="8">
        <v>35.1</v>
      </c>
      <c r="I12" s="8">
        <v>2.4</v>
      </c>
      <c r="J12" s="8">
        <v>5.4</v>
      </c>
      <c r="K12" s="8">
        <v>12.5</v>
      </c>
      <c r="L12" s="8">
        <v>6.1</v>
      </c>
      <c r="M12" s="3">
        <v>25</v>
      </c>
      <c r="N12" s="8">
        <v>4.5</v>
      </c>
      <c r="O12" s="8">
        <v>6.3</v>
      </c>
      <c r="P12" s="8">
        <v>13.4</v>
      </c>
      <c r="Q12" s="8">
        <v>16.100000000000001</v>
      </c>
      <c r="R12" s="8">
        <v>11.2</v>
      </c>
      <c r="S12" s="8">
        <v>4.8</v>
      </c>
      <c r="T12" s="5">
        <v>45979.66269675926</v>
      </c>
      <c r="U12" s="5">
        <v>45979.662905092591</v>
      </c>
      <c r="V12" s="6">
        <v>2.0833333837799728E-4</v>
      </c>
    </row>
    <row r="13" spans="1:22" hidden="1" x14ac:dyDescent="0.3">
      <c r="A13" s="2">
        <v>56</v>
      </c>
      <c r="B13" t="s">
        <v>111</v>
      </c>
      <c r="C13" t="s">
        <v>13</v>
      </c>
      <c r="D13" t="s">
        <v>102</v>
      </c>
      <c r="E13" t="s">
        <v>22</v>
      </c>
      <c r="F13" t="s">
        <v>98</v>
      </c>
      <c r="G13" s="8">
        <v>10.199999999999999</v>
      </c>
      <c r="H13" s="8">
        <v>35</v>
      </c>
      <c r="I13" s="8">
        <v>2.2000000000000002</v>
      </c>
      <c r="J13" s="8">
        <v>5.0999999999999996</v>
      </c>
      <c r="K13" s="8">
        <v>12.8</v>
      </c>
      <c r="L13" s="8">
        <v>6.1</v>
      </c>
      <c r="M13" s="3">
        <v>25</v>
      </c>
      <c r="N13" s="8">
        <v>5.2</v>
      </c>
      <c r="O13" s="8">
        <v>6.6</v>
      </c>
      <c r="P13" s="8">
        <v>12</v>
      </c>
      <c r="Q13" s="8">
        <v>14</v>
      </c>
      <c r="R13" s="8">
        <v>9.1</v>
      </c>
      <c r="S13" s="8">
        <v>4.8</v>
      </c>
      <c r="T13" s="5">
        <v>45979.663055555553</v>
      </c>
      <c r="U13" s="5">
        <v>45979.663217592592</v>
      </c>
      <c r="V13" s="6">
        <v>1.6203703125938773E-4</v>
      </c>
    </row>
    <row r="14" spans="1:22" x14ac:dyDescent="0.3">
      <c r="A14" s="2">
        <v>57</v>
      </c>
      <c r="B14" t="s">
        <v>112</v>
      </c>
      <c r="C14" t="s">
        <v>13</v>
      </c>
      <c r="D14" t="s">
        <v>102</v>
      </c>
      <c r="E14" t="s">
        <v>25</v>
      </c>
      <c r="F14" t="s">
        <v>98</v>
      </c>
      <c r="G14" s="8">
        <v>10.7</v>
      </c>
      <c r="H14" s="8">
        <v>36.1</v>
      </c>
      <c r="I14" s="8">
        <v>2.6</v>
      </c>
      <c r="J14" s="8">
        <v>5.7</v>
      </c>
      <c r="K14" s="8">
        <v>11.8</v>
      </c>
      <c r="L14" s="8">
        <v>5.4</v>
      </c>
      <c r="M14" s="3">
        <v>25</v>
      </c>
      <c r="N14" s="8">
        <v>9.6</v>
      </c>
      <c r="O14" s="8">
        <v>10.3</v>
      </c>
      <c r="P14" s="8">
        <v>16</v>
      </c>
      <c r="Q14" s="8">
        <v>24.7</v>
      </c>
      <c r="R14" s="8">
        <v>16.7</v>
      </c>
      <c r="S14" s="8">
        <v>7</v>
      </c>
      <c r="T14" s="5">
        <v>45979.678622685184</v>
      </c>
      <c r="U14" s="5">
        <v>45979.678865740738</v>
      </c>
      <c r="V14" s="6">
        <v>2.430555468890816E-4</v>
      </c>
    </row>
    <row r="15" spans="1:22" x14ac:dyDescent="0.3">
      <c r="A15" s="2">
        <v>58</v>
      </c>
      <c r="B15" t="s">
        <v>113</v>
      </c>
      <c r="C15" t="s">
        <v>13</v>
      </c>
      <c r="D15" t="s">
        <v>102</v>
      </c>
      <c r="E15" t="s">
        <v>25</v>
      </c>
      <c r="F15" t="s">
        <v>98</v>
      </c>
      <c r="G15" s="8">
        <v>10.7</v>
      </c>
      <c r="H15" s="8">
        <v>37</v>
      </c>
      <c r="I15" s="8">
        <v>2.4</v>
      </c>
      <c r="J15" s="8">
        <v>5.8</v>
      </c>
      <c r="K15" s="8">
        <v>11.8</v>
      </c>
      <c r="L15" s="8">
        <v>5.3</v>
      </c>
      <c r="M15" s="3">
        <v>25</v>
      </c>
      <c r="N15" s="8">
        <v>7.1</v>
      </c>
      <c r="O15" s="8">
        <v>8.1</v>
      </c>
      <c r="P15" s="8">
        <v>16</v>
      </c>
      <c r="Q15" s="8">
        <v>26.2</v>
      </c>
      <c r="R15" s="8">
        <v>16.7</v>
      </c>
      <c r="S15" s="8">
        <v>6.7</v>
      </c>
      <c r="T15" s="5">
        <v>45979.678993055553</v>
      </c>
      <c r="U15" s="5">
        <v>45979.679120370369</v>
      </c>
      <c r="V15" s="6">
        <v>1.2731482274830341E-4</v>
      </c>
    </row>
    <row r="16" spans="1:22" x14ac:dyDescent="0.3">
      <c r="A16" s="2">
        <v>59</v>
      </c>
      <c r="B16" t="s">
        <v>114</v>
      </c>
      <c r="C16" t="s">
        <v>13</v>
      </c>
      <c r="D16" t="s">
        <v>102</v>
      </c>
      <c r="E16" t="s">
        <v>25</v>
      </c>
      <c r="F16" t="s">
        <v>98</v>
      </c>
      <c r="G16" s="8">
        <v>10.6</v>
      </c>
      <c r="H16" s="8">
        <v>36.1</v>
      </c>
      <c r="I16" s="8">
        <v>2.8</v>
      </c>
      <c r="J16" s="8">
        <v>6</v>
      </c>
      <c r="K16" s="8">
        <v>12.2</v>
      </c>
      <c r="L16" s="8">
        <v>5.3</v>
      </c>
      <c r="M16" s="3">
        <v>25</v>
      </c>
      <c r="N16" s="8">
        <v>9.8000000000000007</v>
      </c>
      <c r="O16" s="8">
        <v>10.5</v>
      </c>
      <c r="P16" s="8">
        <v>18.600000000000001</v>
      </c>
      <c r="Q16" s="8">
        <v>26.5</v>
      </c>
      <c r="R16" s="8">
        <v>17.899999999999999</v>
      </c>
      <c r="S16" s="8">
        <v>7.8</v>
      </c>
      <c r="T16" s="5">
        <v>45979.679212962961</v>
      </c>
      <c r="U16" s="5">
        <v>45979.679375</v>
      </c>
      <c r="V16" s="6">
        <v>1.6203703125938773E-4</v>
      </c>
    </row>
    <row r="17" spans="1:22" hidden="1" x14ac:dyDescent="0.3">
      <c r="A17" s="2">
        <v>60</v>
      </c>
      <c r="B17" t="s">
        <v>115</v>
      </c>
      <c r="C17" t="s">
        <v>13</v>
      </c>
      <c r="D17" t="s">
        <v>102</v>
      </c>
      <c r="E17" t="s">
        <v>29</v>
      </c>
      <c r="F17" t="s">
        <v>98</v>
      </c>
      <c r="G17" s="8">
        <v>10.3</v>
      </c>
      <c r="H17" s="8">
        <v>34.9</v>
      </c>
      <c r="I17" s="8">
        <v>2.2000000000000002</v>
      </c>
      <c r="J17" s="8">
        <v>5.3</v>
      </c>
      <c r="K17" s="8">
        <v>12.7</v>
      </c>
      <c r="L17" s="8">
        <v>6.1</v>
      </c>
      <c r="M17" s="3">
        <v>25</v>
      </c>
      <c r="N17" s="8">
        <v>5.5</v>
      </c>
      <c r="O17" s="8">
        <v>6.2</v>
      </c>
      <c r="P17" s="8">
        <v>10.5</v>
      </c>
      <c r="Q17" s="8">
        <v>15.3</v>
      </c>
      <c r="R17" s="8">
        <v>8.4</v>
      </c>
      <c r="S17" s="8">
        <v>3.9</v>
      </c>
      <c r="T17" s="5">
        <v>45979.685057870367</v>
      </c>
      <c r="U17" s="5">
        <v>45979.685289351852</v>
      </c>
      <c r="V17" s="6">
        <v>2.3148147738538682E-4</v>
      </c>
    </row>
    <row r="18" spans="1:22" hidden="1" x14ac:dyDescent="0.3">
      <c r="A18" s="2">
        <v>61</v>
      </c>
      <c r="B18" t="s">
        <v>116</v>
      </c>
      <c r="C18" t="s">
        <v>13</v>
      </c>
      <c r="D18" t="s">
        <v>102</v>
      </c>
      <c r="E18" t="s">
        <v>29</v>
      </c>
      <c r="F18" t="s">
        <v>98</v>
      </c>
      <c r="G18" s="8">
        <v>10.3</v>
      </c>
      <c r="H18" s="8">
        <v>35.299999999999997</v>
      </c>
      <c r="I18" s="8">
        <v>2.2000000000000002</v>
      </c>
      <c r="J18" s="8">
        <v>5.4</v>
      </c>
      <c r="K18" s="8">
        <v>12.8</v>
      </c>
      <c r="L18" s="8">
        <v>6</v>
      </c>
      <c r="M18" s="3">
        <v>25</v>
      </c>
      <c r="N18" s="8">
        <v>5.4</v>
      </c>
      <c r="O18" s="8">
        <v>6.4</v>
      </c>
      <c r="P18" s="8">
        <v>12.2</v>
      </c>
      <c r="Q18" s="8">
        <v>17.2</v>
      </c>
      <c r="R18" s="8">
        <v>9.5</v>
      </c>
      <c r="S18" s="8">
        <v>4.7</v>
      </c>
      <c r="T18" s="5">
        <v>45979.685497685183</v>
      </c>
      <c r="U18" s="5">
        <v>45979.685659722221</v>
      </c>
      <c r="V18" s="6">
        <v>1.6203703125938773E-4</v>
      </c>
    </row>
    <row r="19" spans="1:22" hidden="1" x14ac:dyDescent="0.3">
      <c r="A19" s="2">
        <v>62</v>
      </c>
      <c r="B19" t="s">
        <v>117</v>
      </c>
      <c r="C19" t="s">
        <v>13</v>
      </c>
      <c r="D19" t="s">
        <v>102</v>
      </c>
      <c r="E19" t="s">
        <v>29</v>
      </c>
      <c r="F19" t="s">
        <v>98</v>
      </c>
      <c r="G19" s="8">
        <v>10.4</v>
      </c>
      <c r="H19" s="8">
        <v>35.200000000000003</v>
      </c>
      <c r="I19" s="8">
        <v>2</v>
      </c>
      <c r="J19" s="8">
        <v>5.2</v>
      </c>
      <c r="K19" s="8">
        <v>12.7</v>
      </c>
      <c r="L19" s="8">
        <v>6</v>
      </c>
      <c r="M19" s="3">
        <v>25</v>
      </c>
      <c r="N19" s="8">
        <v>4.5999999999999996</v>
      </c>
      <c r="O19" s="8">
        <v>6</v>
      </c>
      <c r="P19" s="8">
        <v>11</v>
      </c>
      <c r="Q19" s="8">
        <v>14.6</v>
      </c>
      <c r="R19" s="8">
        <v>8.8000000000000007</v>
      </c>
      <c r="S19" s="8">
        <v>4.7</v>
      </c>
      <c r="T19" s="5">
        <v>45979.685763888891</v>
      </c>
      <c r="U19" s="5">
        <v>45979.685925925929</v>
      </c>
      <c r="V19" s="6">
        <v>1.6203703125938773E-4</v>
      </c>
    </row>
    <row r="20" spans="1:22" hidden="1" x14ac:dyDescent="0.3">
      <c r="A20" s="2">
        <v>63</v>
      </c>
      <c r="B20" t="s">
        <v>118</v>
      </c>
      <c r="C20" t="s">
        <v>13</v>
      </c>
      <c r="D20" t="s">
        <v>102</v>
      </c>
      <c r="E20" t="s">
        <v>33</v>
      </c>
      <c r="F20" t="s">
        <v>98</v>
      </c>
      <c r="G20" s="8">
        <v>10.4</v>
      </c>
      <c r="H20" s="8">
        <v>36.200000000000003</v>
      </c>
      <c r="I20" s="8">
        <v>2.1</v>
      </c>
      <c r="J20" s="8">
        <v>5.0999999999999996</v>
      </c>
      <c r="K20" s="8">
        <v>12</v>
      </c>
      <c r="L20" s="8">
        <v>5.8</v>
      </c>
      <c r="M20" s="3">
        <v>25</v>
      </c>
      <c r="N20" s="8">
        <v>4.8</v>
      </c>
      <c r="O20" s="8">
        <v>5</v>
      </c>
      <c r="P20" s="8">
        <v>8.8000000000000007</v>
      </c>
      <c r="Q20" s="8">
        <v>13.6</v>
      </c>
      <c r="R20" s="8">
        <v>8.3000000000000007</v>
      </c>
      <c r="S20" s="8">
        <v>3.3</v>
      </c>
      <c r="T20" s="5">
        <v>45979.708749999998</v>
      </c>
      <c r="U20" s="5">
        <v>45979.708912037036</v>
      </c>
      <c r="V20" s="6">
        <v>1.6203703125938773E-4</v>
      </c>
    </row>
    <row r="21" spans="1:22" hidden="1" x14ac:dyDescent="0.3">
      <c r="A21" s="2">
        <v>64</v>
      </c>
      <c r="B21" t="s">
        <v>119</v>
      </c>
      <c r="C21" t="s">
        <v>13</v>
      </c>
      <c r="D21" t="s">
        <v>102</v>
      </c>
      <c r="E21" t="s">
        <v>33</v>
      </c>
      <c r="F21" t="s">
        <v>98</v>
      </c>
      <c r="G21" s="8">
        <v>10.5</v>
      </c>
      <c r="H21" s="8">
        <v>35.799999999999997</v>
      </c>
      <c r="I21" s="8">
        <v>2.4</v>
      </c>
      <c r="J21" s="8">
        <v>5.3</v>
      </c>
      <c r="K21" s="8">
        <v>12.4</v>
      </c>
      <c r="L21" s="8">
        <v>5.8</v>
      </c>
      <c r="M21" s="3">
        <v>25</v>
      </c>
      <c r="N21" s="8">
        <v>5.4</v>
      </c>
      <c r="O21" s="8">
        <v>6.5</v>
      </c>
      <c r="P21" s="8">
        <v>12.2</v>
      </c>
      <c r="Q21" s="8">
        <v>16</v>
      </c>
      <c r="R21" s="8">
        <v>11.1</v>
      </c>
      <c r="S21" s="8">
        <v>4.5999999999999996</v>
      </c>
      <c r="T21" s="5">
        <v>45979.708993055552</v>
      </c>
      <c r="U21" s="5">
        <v>45979.709120370368</v>
      </c>
      <c r="V21" s="6">
        <v>1.2731482274830341E-4</v>
      </c>
    </row>
    <row r="22" spans="1:22" hidden="1" x14ac:dyDescent="0.3">
      <c r="A22" s="2">
        <v>65</v>
      </c>
      <c r="B22" t="s">
        <v>120</v>
      </c>
      <c r="C22" t="s">
        <v>13</v>
      </c>
      <c r="D22" t="s">
        <v>102</v>
      </c>
      <c r="E22" t="s">
        <v>33</v>
      </c>
      <c r="F22" t="s">
        <v>98</v>
      </c>
      <c r="G22" s="8">
        <v>10.4</v>
      </c>
      <c r="H22" s="8">
        <v>35.200000000000003</v>
      </c>
      <c r="I22" s="8">
        <v>2.4</v>
      </c>
      <c r="J22" s="8">
        <v>5.4</v>
      </c>
      <c r="K22" s="8">
        <v>12.9</v>
      </c>
      <c r="L22" s="8">
        <v>5.8</v>
      </c>
      <c r="M22" s="3">
        <v>25</v>
      </c>
      <c r="N22" s="8">
        <v>6.4</v>
      </c>
      <c r="O22" s="8">
        <v>8.4</v>
      </c>
      <c r="P22" s="8">
        <v>13.8</v>
      </c>
      <c r="Q22" s="8">
        <v>18.100000000000001</v>
      </c>
      <c r="R22" s="8">
        <v>11.3</v>
      </c>
      <c r="S22" s="8">
        <v>5.0999999999999996</v>
      </c>
      <c r="T22" s="5">
        <v>45979.709236111114</v>
      </c>
      <c r="U22" s="5">
        <v>45979.709398148145</v>
      </c>
      <c r="V22" s="6">
        <v>1.6203703125938773E-4</v>
      </c>
    </row>
    <row r="23" spans="1:22" hidden="1" x14ac:dyDescent="0.3">
      <c r="B23" s="1" t="s">
        <v>34</v>
      </c>
      <c r="G23" s="10">
        <f t="shared" ref="G23:S23" si="0">AVERAGE(G4:G22)</f>
        <v>10.610526315789475</v>
      </c>
      <c r="H23" s="10">
        <f t="shared" si="0"/>
        <v>35.557894736842115</v>
      </c>
      <c r="I23" s="10">
        <f t="shared" si="0"/>
        <v>2.3263157894736843</v>
      </c>
      <c r="J23" s="10">
        <f t="shared" si="0"/>
        <v>5.3421052631578956</v>
      </c>
      <c r="K23" s="10">
        <f t="shared" si="0"/>
        <v>12.394736842105265</v>
      </c>
      <c r="L23" s="10">
        <f t="shared" si="0"/>
        <v>5.7894736842105257</v>
      </c>
      <c r="M23" s="7">
        <f t="shared" si="0"/>
        <v>25</v>
      </c>
      <c r="N23" s="10">
        <f t="shared" si="0"/>
        <v>6.1526315789473687</v>
      </c>
      <c r="O23" s="10">
        <f t="shared" si="0"/>
        <v>7.6473684210526303</v>
      </c>
      <c r="P23" s="10">
        <f t="shared" si="0"/>
        <v>13.294736842105262</v>
      </c>
      <c r="Q23" s="10">
        <f t="shared" si="0"/>
        <v>17.726315789473684</v>
      </c>
      <c r="R23" s="10">
        <f t="shared" si="0"/>
        <v>11.731578947368423</v>
      </c>
      <c r="S23" s="10">
        <f t="shared" si="0"/>
        <v>5.4210526315789469</v>
      </c>
    </row>
    <row r="24" spans="1:22" hidden="1" x14ac:dyDescent="0.3">
      <c r="B24" s="1" t="s">
        <v>35</v>
      </c>
      <c r="G24" s="10">
        <f t="shared" ref="G24:S24" si="1">MIN(G4:G22)</f>
        <v>10.199999999999999</v>
      </c>
      <c r="H24" s="10">
        <f t="shared" si="1"/>
        <v>34.4</v>
      </c>
      <c r="I24" s="10">
        <f t="shared" si="1"/>
        <v>1.9</v>
      </c>
      <c r="J24" s="10">
        <f t="shared" si="1"/>
        <v>4.7</v>
      </c>
      <c r="K24" s="10">
        <f t="shared" si="1"/>
        <v>11.7</v>
      </c>
      <c r="L24" s="10">
        <f t="shared" si="1"/>
        <v>5.3</v>
      </c>
      <c r="M24" s="7">
        <f t="shared" si="1"/>
        <v>25</v>
      </c>
      <c r="N24" s="10">
        <f t="shared" si="1"/>
        <v>3.7</v>
      </c>
      <c r="O24" s="10">
        <f t="shared" si="1"/>
        <v>4.5999999999999996</v>
      </c>
      <c r="P24" s="10">
        <f t="shared" si="1"/>
        <v>8.8000000000000007</v>
      </c>
      <c r="Q24" s="10">
        <f t="shared" si="1"/>
        <v>10.6</v>
      </c>
      <c r="R24" s="10">
        <f t="shared" si="1"/>
        <v>7.4</v>
      </c>
      <c r="S24" s="10">
        <f t="shared" si="1"/>
        <v>3.3</v>
      </c>
    </row>
    <row r="25" spans="1:22" hidden="1" x14ac:dyDescent="0.3">
      <c r="B25" s="1" t="s">
        <v>36</v>
      </c>
      <c r="G25" s="10">
        <f t="shared" ref="G25:S25" si="2">MAX(G4:G22)</f>
        <v>11.1</v>
      </c>
      <c r="H25" s="10">
        <f t="shared" si="2"/>
        <v>37</v>
      </c>
      <c r="I25" s="10">
        <f t="shared" si="2"/>
        <v>2.8</v>
      </c>
      <c r="J25" s="10">
        <f t="shared" si="2"/>
        <v>6</v>
      </c>
      <c r="K25" s="10">
        <f t="shared" si="2"/>
        <v>13.1</v>
      </c>
      <c r="L25" s="10">
        <f t="shared" si="2"/>
        <v>6.1</v>
      </c>
      <c r="M25" s="7">
        <f t="shared" si="2"/>
        <v>25</v>
      </c>
      <c r="N25" s="10">
        <f t="shared" si="2"/>
        <v>9.8000000000000007</v>
      </c>
      <c r="O25" s="10">
        <f t="shared" si="2"/>
        <v>11.2</v>
      </c>
      <c r="P25" s="10">
        <f t="shared" si="2"/>
        <v>18.600000000000001</v>
      </c>
      <c r="Q25" s="10">
        <f t="shared" si="2"/>
        <v>26.5</v>
      </c>
      <c r="R25" s="10">
        <f t="shared" si="2"/>
        <v>17.899999999999999</v>
      </c>
      <c r="S25" s="10">
        <f t="shared" si="2"/>
        <v>7.8</v>
      </c>
    </row>
    <row r="26" spans="1:22" hidden="1" x14ac:dyDescent="0.3">
      <c r="B26" s="1" t="s">
        <v>37</v>
      </c>
      <c r="G26" s="10">
        <f t="shared" ref="G26:S26" si="3">STDEV(G4:G22)</f>
        <v>0.3034884893334418</v>
      </c>
      <c r="H26" s="10">
        <f t="shared" si="3"/>
        <v>0.62031872584779157</v>
      </c>
      <c r="I26" s="10">
        <f t="shared" si="3"/>
        <v>0.25131234497501709</v>
      </c>
      <c r="J26" s="10">
        <f t="shared" si="3"/>
        <v>0.36104137878224224</v>
      </c>
      <c r="K26" s="10">
        <f t="shared" si="3"/>
        <v>0.41962110450384787</v>
      </c>
      <c r="L26" s="10">
        <f t="shared" si="3"/>
        <v>0.34624130449106222</v>
      </c>
      <c r="M26" s="7">
        <f t="shared" si="3"/>
        <v>0</v>
      </c>
      <c r="N26" s="10">
        <f t="shared" si="3"/>
        <v>1.7708655827816784</v>
      </c>
      <c r="O26" s="10">
        <f t="shared" si="3"/>
        <v>2.0293316965205399</v>
      </c>
      <c r="P26" s="10">
        <f t="shared" si="3"/>
        <v>2.7496411249087584</v>
      </c>
      <c r="Q26" s="10">
        <f t="shared" si="3"/>
        <v>5.1297435614120053</v>
      </c>
      <c r="R26" s="10">
        <f t="shared" si="3"/>
        <v>3.5530976519055248</v>
      </c>
      <c r="S26" s="10">
        <f t="shared" si="3"/>
        <v>1.3546540958112732</v>
      </c>
    </row>
    <row r="28" spans="1:22" x14ac:dyDescent="0.3">
      <c r="B28" s="1" t="s">
        <v>38</v>
      </c>
      <c r="G28" s="10" t="s">
        <v>39</v>
      </c>
      <c r="H28" s="10" t="s">
        <v>39</v>
      </c>
      <c r="I28" s="10" t="s">
        <v>39</v>
      </c>
      <c r="J28" s="10" t="s">
        <v>39</v>
      </c>
      <c r="K28" s="10" t="s">
        <v>39</v>
      </c>
      <c r="L28" s="10" t="s">
        <v>39</v>
      </c>
      <c r="M28" s="7" t="s">
        <v>39</v>
      </c>
      <c r="N28" s="10" t="s">
        <v>39</v>
      </c>
      <c r="O28" s="10" t="s">
        <v>39</v>
      </c>
      <c r="P28" s="10" t="s">
        <v>39</v>
      </c>
      <c r="Q28" s="10" t="s">
        <v>39</v>
      </c>
      <c r="R28" s="10" t="s">
        <v>39</v>
      </c>
      <c r="S28" s="10" t="s">
        <v>39</v>
      </c>
    </row>
  </sheetData>
  <autoFilter ref="A3:V26" xr:uid="{5D9A6E61-22FD-4180-87FE-AD2274B8C83A}">
    <filterColumn colId="4">
      <filters>
        <filter val="L1 - NBL"/>
        <filter val="L1 APM - LBF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4E11-9463-48B6-BA56-449657CDD72A}">
  <sheetPr filterMode="1"/>
  <dimension ref="A1:Z27"/>
  <sheetViews>
    <sheetView topLeftCell="G1" workbookViewId="0">
      <selection activeCell="P10" sqref="P10:S17"/>
    </sheetView>
  </sheetViews>
  <sheetFormatPr baseColWidth="10" defaultRowHeight="14.4" x14ac:dyDescent="0.3"/>
  <cols>
    <col min="1" max="1" width="3.77734375" bestFit="1" customWidth="1"/>
    <col min="2" max="2" width="29.6640625" bestFit="1" customWidth="1"/>
    <col min="3" max="3" width="7.44140625" bestFit="1" customWidth="1"/>
    <col min="4" max="4" width="14.77734375" bestFit="1" customWidth="1"/>
    <col min="7" max="23" width="11.6640625" bestFit="1" customWidth="1"/>
    <col min="24" max="25" width="17.88671875" bestFit="1" customWidth="1"/>
    <col min="26" max="26" width="11.6640625" bestFit="1" customWidth="1"/>
  </cols>
  <sheetData>
    <row r="1" spans="1:26" s="1" customFormat="1" ht="13.8" x14ac:dyDescent="0.25">
      <c r="A1" s="1" t="s">
        <v>0</v>
      </c>
    </row>
    <row r="3" spans="1:26" x14ac:dyDescent="0.3">
      <c r="A3" s="2" t="s">
        <v>1</v>
      </c>
      <c r="B3" s="2" t="s">
        <v>121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122</v>
      </c>
      <c r="N3" s="2" t="s">
        <v>123</v>
      </c>
      <c r="O3" s="2" t="s">
        <v>7</v>
      </c>
      <c r="P3" s="2" t="s">
        <v>48</v>
      </c>
      <c r="Q3" s="2" t="s">
        <v>49</v>
      </c>
      <c r="R3" s="2" t="s">
        <v>77</v>
      </c>
      <c r="S3" s="2" t="s">
        <v>51</v>
      </c>
      <c r="T3" s="2" t="s">
        <v>52</v>
      </c>
      <c r="U3" s="2" t="s">
        <v>53</v>
      </c>
      <c r="V3" s="2" t="s">
        <v>124</v>
      </c>
      <c r="W3" s="2" t="s">
        <v>125</v>
      </c>
      <c r="X3" s="2" t="s">
        <v>9</v>
      </c>
      <c r="Y3" s="2" t="s">
        <v>10</v>
      </c>
      <c r="Z3" s="2" t="s">
        <v>11</v>
      </c>
    </row>
    <row r="4" spans="1:26" hidden="1" x14ac:dyDescent="0.3">
      <c r="A4" s="2">
        <v>66</v>
      </c>
      <c r="B4" t="s">
        <v>126</v>
      </c>
      <c r="C4" t="s">
        <v>13</v>
      </c>
      <c r="D4" t="s">
        <v>127</v>
      </c>
      <c r="E4" t="s">
        <v>15</v>
      </c>
      <c r="F4" t="s">
        <v>121</v>
      </c>
      <c r="G4" s="8">
        <v>12</v>
      </c>
      <c r="H4" s="8">
        <v>13.4</v>
      </c>
      <c r="I4" s="8">
        <v>4.9000000000000004</v>
      </c>
      <c r="J4" s="8">
        <v>3.4</v>
      </c>
      <c r="K4" s="9">
        <v>4.03</v>
      </c>
      <c r="L4" s="8">
        <v>47.6</v>
      </c>
      <c r="M4" s="9">
        <v>0.27</v>
      </c>
      <c r="N4" s="9">
        <v>0.49</v>
      </c>
      <c r="O4" s="3">
        <v>25</v>
      </c>
      <c r="P4" s="8">
        <v>1</v>
      </c>
      <c r="Q4" s="8">
        <v>1.9</v>
      </c>
      <c r="R4" s="8">
        <v>1</v>
      </c>
      <c r="S4" s="8">
        <v>1.4</v>
      </c>
      <c r="T4" s="8">
        <v>0.6</v>
      </c>
      <c r="U4" s="8">
        <v>2.7</v>
      </c>
      <c r="V4" s="8">
        <v>3.3</v>
      </c>
      <c r="W4" s="8">
        <v>2</v>
      </c>
      <c r="X4" s="5">
        <v>45979.440462962964</v>
      </c>
      <c r="Y4" s="5">
        <v>45979.440659722219</v>
      </c>
      <c r="Z4" s="6">
        <v>1.9675926887430251E-4</v>
      </c>
    </row>
    <row r="5" spans="1:26" hidden="1" x14ac:dyDescent="0.3">
      <c r="A5" s="2">
        <v>67</v>
      </c>
      <c r="B5" t="s">
        <v>128</v>
      </c>
      <c r="C5" t="s">
        <v>13</v>
      </c>
      <c r="D5" t="s">
        <v>127</v>
      </c>
      <c r="E5" t="s">
        <v>15</v>
      </c>
      <c r="F5" t="s">
        <v>121</v>
      </c>
      <c r="G5" s="8">
        <v>12</v>
      </c>
      <c r="H5" s="8">
        <v>13.2</v>
      </c>
      <c r="I5" s="8">
        <v>4.9000000000000004</v>
      </c>
      <c r="J5" s="8">
        <v>3.4</v>
      </c>
      <c r="K5" s="9">
        <v>4.0599999999999996</v>
      </c>
      <c r="L5" s="8">
        <v>47.6</v>
      </c>
      <c r="M5" s="9">
        <v>0.35</v>
      </c>
      <c r="N5" s="9">
        <v>0.5</v>
      </c>
      <c r="O5" s="3">
        <v>25</v>
      </c>
      <c r="P5" s="8">
        <v>0.9</v>
      </c>
      <c r="Q5" s="8">
        <v>1.8</v>
      </c>
      <c r="R5" s="8">
        <v>0.9</v>
      </c>
      <c r="S5" s="8">
        <v>1</v>
      </c>
      <c r="T5" s="8">
        <v>0.6</v>
      </c>
      <c r="U5" s="8">
        <v>2.4</v>
      </c>
      <c r="V5" s="8">
        <v>2.4</v>
      </c>
      <c r="W5" s="8">
        <v>1.7</v>
      </c>
      <c r="X5" s="5">
        <v>45979.440833333334</v>
      </c>
      <c r="Y5" s="5">
        <v>45979.440960648149</v>
      </c>
      <c r="Z5" s="6">
        <v>1.1574075324460864E-4</v>
      </c>
    </row>
    <row r="6" spans="1:26" hidden="1" x14ac:dyDescent="0.3">
      <c r="A6" s="2">
        <v>68</v>
      </c>
      <c r="B6" t="s">
        <v>129</v>
      </c>
      <c r="C6" t="s">
        <v>13</v>
      </c>
      <c r="D6" t="s">
        <v>127</v>
      </c>
      <c r="E6" t="s">
        <v>15</v>
      </c>
      <c r="F6" t="s">
        <v>121</v>
      </c>
      <c r="G6" s="8">
        <v>12</v>
      </c>
      <c r="H6" s="8">
        <v>13.6</v>
      </c>
      <c r="I6" s="8">
        <v>5.0999999999999996</v>
      </c>
      <c r="J6" s="8">
        <v>3.6</v>
      </c>
      <c r="K6" s="9">
        <v>4.22</v>
      </c>
      <c r="L6" s="8">
        <v>46.4</v>
      </c>
      <c r="M6" s="9">
        <v>0.28999999999999998</v>
      </c>
      <c r="N6" s="9">
        <v>0.53</v>
      </c>
      <c r="O6" s="3">
        <v>25</v>
      </c>
      <c r="P6" s="8">
        <v>0.8</v>
      </c>
      <c r="Q6" s="8">
        <v>1.7</v>
      </c>
      <c r="R6" s="8">
        <v>0.8</v>
      </c>
      <c r="S6" s="8">
        <v>0.9</v>
      </c>
      <c r="T6" s="8">
        <v>0.4</v>
      </c>
      <c r="U6" s="8">
        <v>2.2999999999999998</v>
      </c>
      <c r="V6" s="8">
        <v>3.1</v>
      </c>
      <c r="W6" s="8">
        <v>1.6</v>
      </c>
      <c r="X6" s="5">
        <v>45979.441111111111</v>
      </c>
      <c r="Y6" s="5">
        <v>45979.441238425927</v>
      </c>
      <c r="Z6" s="6">
        <v>1.2731482274830341E-4</v>
      </c>
    </row>
    <row r="7" spans="1:26" hidden="1" x14ac:dyDescent="0.3">
      <c r="A7" s="2">
        <v>69</v>
      </c>
      <c r="B7" t="s">
        <v>130</v>
      </c>
      <c r="C7" t="s">
        <v>13</v>
      </c>
      <c r="D7" t="s">
        <v>127</v>
      </c>
      <c r="E7" t="s">
        <v>18</v>
      </c>
      <c r="F7" t="s">
        <v>121</v>
      </c>
      <c r="G7" s="8">
        <v>11.7</v>
      </c>
      <c r="H7" s="8">
        <v>14.4</v>
      </c>
      <c r="I7" s="8">
        <v>5.2</v>
      </c>
      <c r="J7" s="8">
        <v>3.3</v>
      </c>
      <c r="K7" s="9">
        <v>3.93</v>
      </c>
      <c r="L7" s="8">
        <v>48.3</v>
      </c>
      <c r="M7" s="9">
        <v>0.21</v>
      </c>
      <c r="N7" s="9">
        <v>0.44</v>
      </c>
      <c r="O7" s="3">
        <v>25</v>
      </c>
      <c r="P7" s="8">
        <v>0.9</v>
      </c>
      <c r="Q7" s="8">
        <v>2.4</v>
      </c>
      <c r="R7" s="8">
        <v>1.3</v>
      </c>
      <c r="S7" s="8">
        <v>1.2</v>
      </c>
      <c r="T7" s="8">
        <v>1.1000000000000001</v>
      </c>
      <c r="U7" s="8">
        <v>2.8</v>
      </c>
      <c r="V7" s="8">
        <v>4.5</v>
      </c>
      <c r="W7" s="8">
        <v>1.1000000000000001</v>
      </c>
      <c r="X7" s="5">
        <v>45979.448703703703</v>
      </c>
      <c r="Y7" s="5">
        <v>45979.448935185188</v>
      </c>
      <c r="Z7" s="6">
        <v>2.3148147738538682E-4</v>
      </c>
    </row>
    <row r="8" spans="1:26" hidden="1" x14ac:dyDescent="0.3">
      <c r="A8" s="2">
        <v>70</v>
      </c>
      <c r="B8" t="s">
        <v>131</v>
      </c>
      <c r="C8" t="s">
        <v>13</v>
      </c>
      <c r="D8" t="s">
        <v>127</v>
      </c>
      <c r="E8" t="s">
        <v>18</v>
      </c>
      <c r="F8" t="s">
        <v>121</v>
      </c>
      <c r="G8" s="8">
        <v>11.8</v>
      </c>
      <c r="H8" s="8">
        <v>13.6</v>
      </c>
      <c r="I8" s="8">
        <v>5.0999999999999996</v>
      </c>
      <c r="J8" s="8">
        <v>3.2</v>
      </c>
      <c r="K8" s="9">
        <v>3.71</v>
      </c>
      <c r="L8" s="8">
        <v>50.6</v>
      </c>
      <c r="M8" s="9">
        <v>0.23</v>
      </c>
      <c r="N8" s="9">
        <v>0.39</v>
      </c>
      <c r="O8" s="3">
        <v>25</v>
      </c>
      <c r="P8" s="8">
        <v>1.2</v>
      </c>
      <c r="Q8" s="8">
        <v>2.5</v>
      </c>
      <c r="R8" s="8">
        <v>1.6</v>
      </c>
      <c r="S8" s="8">
        <v>1.3</v>
      </c>
      <c r="T8" s="8">
        <v>1.7</v>
      </c>
      <c r="U8" s="8">
        <v>3</v>
      </c>
      <c r="V8" s="8">
        <v>3.9</v>
      </c>
      <c r="W8" s="8">
        <v>1.5</v>
      </c>
      <c r="X8" s="5">
        <v>45979.449097222219</v>
      </c>
      <c r="Y8" s="5">
        <v>45979.449259259258</v>
      </c>
      <c r="Z8" s="6">
        <v>1.6203703125938773E-4</v>
      </c>
    </row>
    <row r="9" spans="1:26" hidden="1" x14ac:dyDescent="0.3">
      <c r="A9" s="2">
        <v>71</v>
      </c>
      <c r="B9" t="s">
        <v>132</v>
      </c>
      <c r="C9" t="s">
        <v>13</v>
      </c>
      <c r="D9" t="s">
        <v>127</v>
      </c>
      <c r="E9" t="s">
        <v>18</v>
      </c>
      <c r="F9" t="s">
        <v>121</v>
      </c>
      <c r="G9" s="8">
        <v>11.7</v>
      </c>
      <c r="H9" s="8">
        <v>14.6</v>
      </c>
      <c r="I9" s="8">
        <v>5</v>
      </c>
      <c r="J9" s="8">
        <v>3.3</v>
      </c>
      <c r="K9" s="9">
        <v>3.91</v>
      </c>
      <c r="L9" s="8">
        <v>49.1</v>
      </c>
      <c r="M9" s="9">
        <v>0.22</v>
      </c>
      <c r="N9" s="9">
        <v>0.47</v>
      </c>
      <c r="O9" s="3">
        <v>25</v>
      </c>
      <c r="P9" s="8">
        <v>1.5</v>
      </c>
      <c r="Q9" s="8">
        <v>2.8</v>
      </c>
      <c r="R9" s="8">
        <v>1.9</v>
      </c>
      <c r="S9" s="8">
        <v>1</v>
      </c>
      <c r="T9" s="8">
        <v>1.4</v>
      </c>
      <c r="U9" s="8">
        <v>3.3</v>
      </c>
      <c r="V9" s="8">
        <v>4.3</v>
      </c>
      <c r="W9" s="8">
        <v>1.2</v>
      </c>
      <c r="X9" s="5">
        <v>45979.44939814815</v>
      </c>
      <c r="Y9" s="5">
        <v>45979.449884259258</v>
      </c>
      <c r="Z9" s="6">
        <v>4.7453702427446842E-4</v>
      </c>
    </row>
    <row r="10" spans="1:26" x14ac:dyDescent="0.3">
      <c r="A10" s="2">
        <v>72</v>
      </c>
      <c r="B10" t="s">
        <v>133</v>
      </c>
      <c r="C10" t="s">
        <v>13</v>
      </c>
      <c r="D10" t="s">
        <v>127</v>
      </c>
      <c r="E10" t="s">
        <v>22</v>
      </c>
      <c r="F10" t="s">
        <v>121</v>
      </c>
      <c r="G10" s="8">
        <v>11.7</v>
      </c>
      <c r="H10" s="8">
        <v>13.7</v>
      </c>
      <c r="I10" s="8">
        <v>4.9000000000000004</v>
      </c>
      <c r="J10" s="8">
        <v>3.6</v>
      </c>
      <c r="K10" s="9">
        <v>4.22</v>
      </c>
      <c r="L10" s="8">
        <v>47.3</v>
      </c>
      <c r="M10" s="9">
        <v>0.33</v>
      </c>
      <c r="N10" s="9">
        <v>0.41</v>
      </c>
      <c r="O10" s="3">
        <v>25</v>
      </c>
      <c r="P10" s="8">
        <v>0.5</v>
      </c>
      <c r="Q10" s="8">
        <v>1.5</v>
      </c>
      <c r="R10" s="8">
        <v>0.5</v>
      </c>
      <c r="S10" s="8">
        <v>0.6</v>
      </c>
      <c r="T10" s="8">
        <v>0.6</v>
      </c>
      <c r="U10" s="8">
        <v>1.8</v>
      </c>
      <c r="V10" s="8">
        <v>2.5</v>
      </c>
      <c r="W10" s="8">
        <v>0.9</v>
      </c>
      <c r="X10" s="5">
        <v>45979.663310185184</v>
      </c>
      <c r="Y10" s="5">
        <v>45979.663634259261</v>
      </c>
      <c r="Z10" s="6">
        <v>3.2407406251877546E-4</v>
      </c>
    </row>
    <row r="11" spans="1:26" x14ac:dyDescent="0.3">
      <c r="A11" s="2">
        <v>73</v>
      </c>
      <c r="B11" t="s">
        <v>134</v>
      </c>
      <c r="C11" t="s">
        <v>13</v>
      </c>
      <c r="D11" t="s">
        <v>127</v>
      </c>
      <c r="E11" t="s">
        <v>22</v>
      </c>
      <c r="F11" t="s">
        <v>121</v>
      </c>
      <c r="G11" s="8">
        <v>11.8</v>
      </c>
      <c r="H11" s="8">
        <v>14</v>
      </c>
      <c r="I11" s="8">
        <v>4.9000000000000004</v>
      </c>
      <c r="J11" s="8">
        <v>3.5</v>
      </c>
      <c r="K11" s="9">
        <v>4.21</v>
      </c>
      <c r="L11" s="8">
        <v>47.4</v>
      </c>
      <c r="M11" s="9">
        <v>0.32</v>
      </c>
      <c r="N11" s="9">
        <v>0.44</v>
      </c>
      <c r="O11" s="3">
        <v>25</v>
      </c>
      <c r="P11" s="8">
        <v>0.4</v>
      </c>
      <c r="Q11" s="8">
        <v>1.4</v>
      </c>
      <c r="R11" s="8">
        <v>0.6</v>
      </c>
      <c r="S11" s="8">
        <v>0.4</v>
      </c>
      <c r="T11" s="8">
        <v>0.6</v>
      </c>
      <c r="U11" s="8">
        <v>1.7</v>
      </c>
      <c r="V11" s="8">
        <v>2.6</v>
      </c>
      <c r="W11" s="8">
        <v>0.6</v>
      </c>
      <c r="X11" s="5">
        <v>45979.663993055554</v>
      </c>
      <c r="Y11" s="5">
        <v>45979.664155092592</v>
      </c>
      <c r="Z11" s="6">
        <v>1.6203703125938773E-4</v>
      </c>
    </row>
    <row r="12" spans="1:26" x14ac:dyDescent="0.3">
      <c r="A12" s="2">
        <v>74</v>
      </c>
      <c r="B12" t="s">
        <v>135</v>
      </c>
      <c r="C12" t="s">
        <v>13</v>
      </c>
      <c r="D12" t="s">
        <v>127</v>
      </c>
      <c r="E12" t="s">
        <v>22</v>
      </c>
      <c r="F12" t="s">
        <v>121</v>
      </c>
      <c r="G12" s="8">
        <v>11.7</v>
      </c>
      <c r="H12" s="8">
        <v>14.5</v>
      </c>
      <c r="I12" s="8">
        <v>5.0999999999999996</v>
      </c>
      <c r="J12" s="8">
        <v>3.7</v>
      </c>
      <c r="K12" s="9">
        <v>4.46</v>
      </c>
      <c r="L12" s="8">
        <v>45.5</v>
      </c>
      <c r="M12" s="9">
        <v>0.35</v>
      </c>
      <c r="N12" s="9">
        <v>0.48</v>
      </c>
      <c r="O12" s="3">
        <v>25</v>
      </c>
      <c r="P12" s="8">
        <v>0.4</v>
      </c>
      <c r="Q12" s="8">
        <v>1.2</v>
      </c>
      <c r="R12" s="8">
        <v>0.6</v>
      </c>
      <c r="S12" s="8">
        <v>0.5</v>
      </c>
      <c r="T12" s="8">
        <v>0.5</v>
      </c>
      <c r="U12" s="8">
        <v>1.9</v>
      </c>
      <c r="V12" s="8">
        <v>2.7</v>
      </c>
      <c r="W12" s="8">
        <v>0.6</v>
      </c>
      <c r="X12" s="5">
        <v>45979.664270833331</v>
      </c>
      <c r="Y12" s="5">
        <v>45979.66443287037</v>
      </c>
      <c r="Z12" s="6">
        <v>1.6203703125938773E-4</v>
      </c>
    </row>
    <row r="13" spans="1:26" hidden="1" x14ac:dyDescent="0.3">
      <c r="A13" s="2">
        <v>75</v>
      </c>
      <c r="B13" t="s">
        <v>136</v>
      </c>
      <c r="C13" t="s">
        <v>13</v>
      </c>
      <c r="D13" t="s">
        <v>127</v>
      </c>
      <c r="E13" t="s">
        <v>25</v>
      </c>
      <c r="F13" t="s">
        <v>121</v>
      </c>
      <c r="G13" s="8">
        <v>11.6</v>
      </c>
      <c r="H13" s="8">
        <v>14.4</v>
      </c>
      <c r="I13" s="8">
        <v>5.2</v>
      </c>
      <c r="J13" s="8">
        <v>3.5</v>
      </c>
      <c r="K13" s="9">
        <v>3.85</v>
      </c>
      <c r="L13" s="8">
        <v>48.8</v>
      </c>
      <c r="M13" s="9">
        <v>0.24</v>
      </c>
      <c r="N13" s="9">
        <v>0.41</v>
      </c>
      <c r="O13" s="3">
        <v>25</v>
      </c>
      <c r="P13" s="8">
        <v>1.1000000000000001</v>
      </c>
      <c r="Q13" s="8">
        <v>3.3</v>
      </c>
      <c r="R13" s="8">
        <v>1.6</v>
      </c>
      <c r="S13" s="8">
        <v>1.7</v>
      </c>
      <c r="T13" s="8">
        <v>1.3</v>
      </c>
      <c r="U13" s="8">
        <v>3.5</v>
      </c>
      <c r="V13" s="8">
        <v>4.0999999999999996</v>
      </c>
      <c r="W13" s="8">
        <v>1.5</v>
      </c>
      <c r="X13" s="5">
        <v>45979.675196759257</v>
      </c>
      <c r="Y13" s="5">
        <v>45979.675405092596</v>
      </c>
      <c r="Z13" s="6">
        <v>1.9675926887430251E-4</v>
      </c>
    </row>
    <row r="14" spans="1:26" hidden="1" x14ac:dyDescent="0.3">
      <c r="A14" s="2">
        <v>76</v>
      </c>
      <c r="B14" t="s">
        <v>137</v>
      </c>
      <c r="C14" t="s">
        <v>13</v>
      </c>
      <c r="D14" t="s">
        <v>127</v>
      </c>
      <c r="E14" t="s">
        <v>25</v>
      </c>
      <c r="F14" t="s">
        <v>121</v>
      </c>
      <c r="G14" s="8">
        <v>11.6</v>
      </c>
      <c r="H14" s="8">
        <v>14</v>
      </c>
      <c r="I14" s="8">
        <v>5.0999999999999996</v>
      </c>
      <c r="J14" s="8">
        <v>3.3</v>
      </c>
      <c r="K14" s="9">
        <v>3.75</v>
      </c>
      <c r="L14" s="8">
        <v>50.2</v>
      </c>
      <c r="M14" s="9">
        <v>0.19</v>
      </c>
      <c r="N14" s="9">
        <v>0.41</v>
      </c>
      <c r="O14" s="3">
        <v>25</v>
      </c>
      <c r="P14" s="8">
        <v>1.2</v>
      </c>
      <c r="Q14" s="8">
        <v>3.3</v>
      </c>
      <c r="R14" s="8">
        <v>1.8</v>
      </c>
      <c r="S14" s="8">
        <v>1.4</v>
      </c>
      <c r="T14" s="8">
        <v>1.5</v>
      </c>
      <c r="U14" s="8">
        <v>3.8</v>
      </c>
      <c r="V14" s="8">
        <v>4.8</v>
      </c>
      <c r="W14" s="8">
        <v>1.4</v>
      </c>
      <c r="X14" s="5">
        <v>45979.675543981481</v>
      </c>
      <c r="Y14" s="5">
        <v>45979.675740740742</v>
      </c>
      <c r="Z14" s="6">
        <v>1.9675926887430251E-4</v>
      </c>
    </row>
    <row r="15" spans="1:26" hidden="1" x14ac:dyDescent="0.3">
      <c r="A15" s="2">
        <v>77</v>
      </c>
      <c r="B15" t="s">
        <v>138</v>
      </c>
      <c r="C15" t="s">
        <v>13</v>
      </c>
      <c r="D15" t="s">
        <v>127</v>
      </c>
      <c r="E15" t="s">
        <v>25</v>
      </c>
      <c r="F15" t="s">
        <v>121</v>
      </c>
      <c r="G15" s="8">
        <v>11.6</v>
      </c>
      <c r="H15" s="8">
        <v>14.5</v>
      </c>
      <c r="I15" s="8">
        <v>5.2</v>
      </c>
      <c r="J15" s="8">
        <v>3.4</v>
      </c>
      <c r="K15" s="9">
        <v>3.93</v>
      </c>
      <c r="L15" s="8">
        <v>48.9</v>
      </c>
      <c r="M15" s="9">
        <v>0.19</v>
      </c>
      <c r="N15" s="9">
        <v>0.48</v>
      </c>
      <c r="O15" s="3">
        <v>25</v>
      </c>
      <c r="P15" s="8">
        <v>1.1000000000000001</v>
      </c>
      <c r="Q15" s="8">
        <v>2.9</v>
      </c>
      <c r="R15" s="8">
        <v>1.6</v>
      </c>
      <c r="S15" s="8">
        <v>1</v>
      </c>
      <c r="T15" s="8">
        <v>1.1000000000000001</v>
      </c>
      <c r="U15" s="8">
        <v>3.4</v>
      </c>
      <c r="V15" s="8">
        <v>4.8</v>
      </c>
      <c r="W15" s="8">
        <v>1.1000000000000001</v>
      </c>
      <c r="X15" s="5">
        <v>45979.676342592589</v>
      </c>
      <c r="Y15" s="5">
        <v>45979.676631944443</v>
      </c>
      <c r="Z15" s="6">
        <v>2.7777778450399637E-4</v>
      </c>
    </row>
    <row r="16" spans="1:26" x14ac:dyDescent="0.3">
      <c r="A16" s="2">
        <v>78</v>
      </c>
      <c r="B16" t="s">
        <v>139</v>
      </c>
      <c r="C16" t="s">
        <v>13</v>
      </c>
      <c r="D16" t="s">
        <v>127</v>
      </c>
      <c r="E16" t="s">
        <v>29</v>
      </c>
      <c r="F16" t="s">
        <v>121</v>
      </c>
      <c r="G16" s="8">
        <v>11.7</v>
      </c>
      <c r="H16" s="8">
        <v>14.4</v>
      </c>
      <c r="I16" s="8">
        <v>5.0999999999999996</v>
      </c>
      <c r="J16" s="8">
        <v>3.6</v>
      </c>
      <c r="K16" s="9">
        <v>4.3</v>
      </c>
      <c r="L16" s="8">
        <v>46.6</v>
      </c>
      <c r="M16" s="9">
        <v>0.24</v>
      </c>
      <c r="N16" s="9">
        <v>0.49</v>
      </c>
      <c r="O16" s="3">
        <v>25</v>
      </c>
      <c r="P16" s="8">
        <v>0.4</v>
      </c>
      <c r="Q16" s="8">
        <v>1.5</v>
      </c>
      <c r="R16" s="8">
        <v>0.5</v>
      </c>
      <c r="S16" s="8">
        <v>0.6</v>
      </c>
      <c r="T16" s="8">
        <v>0.6</v>
      </c>
      <c r="U16" s="8">
        <v>1.8</v>
      </c>
      <c r="V16" s="8">
        <v>4.5</v>
      </c>
      <c r="W16" s="8">
        <v>0.5</v>
      </c>
      <c r="X16" s="5">
        <v>45979.689837962964</v>
      </c>
      <c r="Y16" s="5">
        <v>45979.690034722225</v>
      </c>
      <c r="Z16" s="6">
        <v>1.9675926887430251E-4</v>
      </c>
    </row>
    <row r="17" spans="1:26" x14ac:dyDescent="0.3">
      <c r="A17" s="2">
        <v>79</v>
      </c>
      <c r="B17" t="s">
        <v>140</v>
      </c>
      <c r="C17" t="s">
        <v>13</v>
      </c>
      <c r="D17" t="s">
        <v>127</v>
      </c>
      <c r="E17" t="s">
        <v>29</v>
      </c>
      <c r="F17" t="s">
        <v>121</v>
      </c>
      <c r="G17" s="8">
        <v>11.7</v>
      </c>
      <c r="H17" s="8">
        <v>14.6</v>
      </c>
      <c r="I17" s="8">
        <v>5.0999999999999996</v>
      </c>
      <c r="J17" s="8">
        <v>3.7</v>
      </c>
      <c r="K17" s="9">
        <v>4.3499999999999996</v>
      </c>
      <c r="L17" s="8">
        <v>46.3</v>
      </c>
      <c r="M17" s="9">
        <v>0.27</v>
      </c>
      <c r="N17" s="9">
        <v>0.49</v>
      </c>
      <c r="O17" s="3">
        <v>25</v>
      </c>
      <c r="P17" s="8">
        <v>0.4</v>
      </c>
      <c r="Q17" s="8">
        <v>1.5</v>
      </c>
      <c r="R17" s="8">
        <v>0.5</v>
      </c>
      <c r="S17" s="8">
        <v>0.5</v>
      </c>
      <c r="T17" s="8">
        <v>0.5</v>
      </c>
      <c r="U17" s="8">
        <v>1.8</v>
      </c>
      <c r="V17" s="8">
        <v>3.8</v>
      </c>
      <c r="W17" s="8">
        <v>0.5</v>
      </c>
      <c r="X17" s="5">
        <v>45979.690208333333</v>
      </c>
      <c r="Y17" s="5">
        <v>45979.690335648149</v>
      </c>
      <c r="Z17" s="6">
        <v>1.1574075324460864E-4</v>
      </c>
    </row>
    <row r="18" spans="1:26" x14ac:dyDescent="0.3">
      <c r="A18" s="2">
        <v>80</v>
      </c>
      <c r="B18" t="s">
        <v>141</v>
      </c>
      <c r="C18" t="s">
        <v>13</v>
      </c>
      <c r="D18" t="s">
        <v>127</v>
      </c>
      <c r="E18" t="s">
        <v>29</v>
      </c>
      <c r="F18" t="s">
        <v>121</v>
      </c>
      <c r="G18" s="8">
        <v>11.7</v>
      </c>
      <c r="H18" s="8">
        <v>14.7</v>
      </c>
      <c r="I18" s="8">
        <v>5</v>
      </c>
      <c r="J18" s="8">
        <v>3.8</v>
      </c>
      <c r="K18" s="9">
        <v>4.3600000000000003</v>
      </c>
      <c r="L18" s="8">
        <v>46</v>
      </c>
      <c r="M18" s="9">
        <v>0.24</v>
      </c>
      <c r="N18" s="9">
        <v>0.51</v>
      </c>
      <c r="O18" s="3">
        <v>25</v>
      </c>
      <c r="P18" s="8">
        <v>0.4</v>
      </c>
      <c r="Q18" s="8">
        <v>1.9</v>
      </c>
      <c r="R18" s="8">
        <v>0.6</v>
      </c>
      <c r="S18" s="8">
        <v>0.6</v>
      </c>
      <c r="T18" s="8">
        <v>0.5</v>
      </c>
      <c r="U18" s="8">
        <v>2.1</v>
      </c>
      <c r="V18" s="8">
        <v>4.5</v>
      </c>
      <c r="W18" s="8">
        <v>0.5</v>
      </c>
      <c r="X18" s="5">
        <v>45979.690439814818</v>
      </c>
      <c r="Y18" s="5">
        <v>45979.690717592595</v>
      </c>
      <c r="Z18" s="6">
        <v>2.7777778450399637E-4</v>
      </c>
    </row>
    <row r="19" spans="1:26" hidden="1" x14ac:dyDescent="0.3">
      <c r="A19" s="2">
        <v>81</v>
      </c>
      <c r="B19" t="s">
        <v>142</v>
      </c>
      <c r="C19" t="s">
        <v>13</v>
      </c>
      <c r="D19" t="s">
        <v>127</v>
      </c>
      <c r="E19" t="s">
        <v>33</v>
      </c>
      <c r="F19" t="s">
        <v>121</v>
      </c>
      <c r="G19" s="8">
        <v>11.5</v>
      </c>
      <c r="H19" s="8">
        <v>15</v>
      </c>
      <c r="I19" s="8">
        <v>5.0999999999999996</v>
      </c>
      <c r="J19" s="8">
        <v>3.8</v>
      </c>
      <c r="K19" s="9">
        <v>4.34</v>
      </c>
      <c r="L19" s="8">
        <v>45.8</v>
      </c>
      <c r="M19" s="9">
        <v>0.28999999999999998</v>
      </c>
      <c r="N19" s="9">
        <v>0.48</v>
      </c>
      <c r="O19" s="3">
        <v>25</v>
      </c>
      <c r="P19" s="8">
        <v>0.6</v>
      </c>
      <c r="Q19" s="8">
        <v>2.1</v>
      </c>
      <c r="R19" s="8">
        <v>0.9</v>
      </c>
      <c r="S19" s="8">
        <v>0.7</v>
      </c>
      <c r="T19" s="8">
        <v>0.5</v>
      </c>
      <c r="U19" s="8">
        <v>2.8</v>
      </c>
      <c r="V19" s="8">
        <v>3.6</v>
      </c>
      <c r="W19" s="8">
        <v>0.7</v>
      </c>
      <c r="X19" s="5">
        <v>45979.703865740739</v>
      </c>
      <c r="Y19" s="5">
        <v>45979.704143518517</v>
      </c>
      <c r="Z19" s="6">
        <v>2.7777778450399637E-4</v>
      </c>
    </row>
    <row r="20" spans="1:26" hidden="1" x14ac:dyDescent="0.3">
      <c r="A20" s="2">
        <v>82</v>
      </c>
      <c r="B20" t="s">
        <v>143</v>
      </c>
      <c r="C20" t="s">
        <v>13</v>
      </c>
      <c r="D20" t="s">
        <v>127</v>
      </c>
      <c r="E20" t="s">
        <v>33</v>
      </c>
      <c r="F20" t="s">
        <v>121</v>
      </c>
      <c r="G20" s="8">
        <v>11.6</v>
      </c>
      <c r="H20" s="8">
        <v>13.8</v>
      </c>
      <c r="I20" s="8">
        <v>5</v>
      </c>
      <c r="J20" s="8">
        <v>3.5</v>
      </c>
      <c r="K20" s="9">
        <v>4.12</v>
      </c>
      <c r="L20" s="8">
        <v>48</v>
      </c>
      <c r="M20" s="9">
        <v>0.31</v>
      </c>
      <c r="N20" s="9">
        <v>0.45</v>
      </c>
      <c r="O20" s="3">
        <v>25</v>
      </c>
      <c r="P20" s="8">
        <v>0.5</v>
      </c>
      <c r="Q20" s="8">
        <v>1.6</v>
      </c>
      <c r="R20" s="8">
        <v>0.8</v>
      </c>
      <c r="S20" s="8">
        <v>0.4</v>
      </c>
      <c r="T20" s="8">
        <v>0.6</v>
      </c>
      <c r="U20" s="8">
        <v>1.9</v>
      </c>
      <c r="V20" s="8">
        <v>2.8</v>
      </c>
      <c r="W20" s="8">
        <v>0.7</v>
      </c>
      <c r="X20" s="5">
        <v>45979.704317129632</v>
      </c>
      <c r="Y20" s="5">
        <v>45979.704525462963</v>
      </c>
      <c r="Z20" s="6">
        <v>1.9675926887430251E-4</v>
      </c>
    </row>
    <row r="21" spans="1:26" hidden="1" x14ac:dyDescent="0.3">
      <c r="A21" s="2">
        <v>83</v>
      </c>
      <c r="B21" t="s">
        <v>144</v>
      </c>
      <c r="C21" t="s">
        <v>13</v>
      </c>
      <c r="D21" t="s">
        <v>127</v>
      </c>
      <c r="E21" t="s">
        <v>33</v>
      </c>
      <c r="F21" t="s">
        <v>121</v>
      </c>
      <c r="G21" s="8">
        <v>11.7</v>
      </c>
      <c r="H21" s="8">
        <v>13.6</v>
      </c>
      <c r="I21" s="8">
        <v>5</v>
      </c>
      <c r="J21" s="8">
        <v>3.6</v>
      </c>
      <c r="K21" s="9">
        <v>4.09</v>
      </c>
      <c r="L21" s="8">
        <v>48.2</v>
      </c>
      <c r="M21" s="9">
        <v>0.26</v>
      </c>
      <c r="N21" s="9">
        <v>0.46</v>
      </c>
      <c r="O21" s="3">
        <v>25</v>
      </c>
      <c r="P21" s="8">
        <v>0.6</v>
      </c>
      <c r="Q21" s="8">
        <v>1.7</v>
      </c>
      <c r="R21" s="8">
        <v>0.9</v>
      </c>
      <c r="S21" s="8">
        <v>0.5</v>
      </c>
      <c r="T21" s="8">
        <v>0.7</v>
      </c>
      <c r="U21" s="8">
        <v>2</v>
      </c>
      <c r="V21" s="8">
        <v>3.3</v>
      </c>
      <c r="W21" s="8">
        <v>0.8</v>
      </c>
      <c r="X21" s="5">
        <v>45979.704675925925</v>
      </c>
      <c r="Y21" s="5">
        <v>45979.704837962963</v>
      </c>
      <c r="Z21" s="6">
        <v>1.6203703125938773E-4</v>
      </c>
    </row>
    <row r="22" spans="1:26" hidden="1" x14ac:dyDescent="0.3">
      <c r="B22" s="1" t="s">
        <v>34</v>
      </c>
      <c r="G22" s="10">
        <f t="shared" ref="G22:W22" si="0">AVERAGE(G4:G21)</f>
        <v>11.727777777777774</v>
      </c>
      <c r="H22" s="10">
        <f t="shared" si="0"/>
        <v>14.111111111111111</v>
      </c>
      <c r="I22" s="10">
        <f t="shared" si="0"/>
        <v>5.05</v>
      </c>
      <c r="J22" s="10">
        <f t="shared" si="0"/>
        <v>3.5111111111111111</v>
      </c>
      <c r="K22" s="11">
        <f t="shared" si="0"/>
        <v>4.1022222222222222</v>
      </c>
      <c r="L22" s="10">
        <f t="shared" si="0"/>
        <v>47.699999999999996</v>
      </c>
      <c r="M22" s="11">
        <f t="shared" si="0"/>
        <v>0.26666666666666661</v>
      </c>
      <c r="N22" s="11">
        <f t="shared" si="0"/>
        <v>0.4627777777777779</v>
      </c>
      <c r="O22" s="7">
        <f t="shared" si="0"/>
        <v>25</v>
      </c>
      <c r="P22" s="10">
        <f t="shared" si="0"/>
        <v>0.77222222222222225</v>
      </c>
      <c r="Q22" s="10">
        <f t="shared" si="0"/>
        <v>2.0555555555555554</v>
      </c>
      <c r="R22" s="10">
        <f t="shared" si="0"/>
        <v>1.0222222222222221</v>
      </c>
      <c r="S22" s="10">
        <f t="shared" si="0"/>
        <v>0.87222222222222223</v>
      </c>
      <c r="T22" s="10">
        <f t="shared" si="0"/>
        <v>0.82222222222222219</v>
      </c>
      <c r="U22" s="10">
        <f t="shared" si="0"/>
        <v>2.4999999999999996</v>
      </c>
      <c r="V22" s="10">
        <f t="shared" si="0"/>
        <v>3.638888888888888</v>
      </c>
      <c r="W22" s="10">
        <f t="shared" si="0"/>
        <v>1.0499999999999998</v>
      </c>
    </row>
    <row r="23" spans="1:26" hidden="1" x14ac:dyDescent="0.3">
      <c r="B23" s="1" t="s">
        <v>35</v>
      </c>
      <c r="G23" s="10">
        <f t="shared" ref="G23:W23" si="1">MIN(G4:G21)</f>
        <v>11.5</v>
      </c>
      <c r="H23" s="10">
        <f t="shared" si="1"/>
        <v>13.2</v>
      </c>
      <c r="I23" s="10">
        <f t="shared" si="1"/>
        <v>4.9000000000000004</v>
      </c>
      <c r="J23" s="10">
        <f t="shared" si="1"/>
        <v>3.2</v>
      </c>
      <c r="K23" s="11">
        <f t="shared" si="1"/>
        <v>3.71</v>
      </c>
      <c r="L23" s="10">
        <f t="shared" si="1"/>
        <v>45.5</v>
      </c>
      <c r="M23" s="11">
        <f t="shared" si="1"/>
        <v>0.19</v>
      </c>
      <c r="N23" s="11">
        <f t="shared" si="1"/>
        <v>0.39</v>
      </c>
      <c r="O23" s="7">
        <f t="shared" si="1"/>
        <v>25</v>
      </c>
      <c r="P23" s="10">
        <f t="shared" si="1"/>
        <v>0.4</v>
      </c>
      <c r="Q23" s="10">
        <f t="shared" si="1"/>
        <v>1.2</v>
      </c>
      <c r="R23" s="10">
        <f t="shared" si="1"/>
        <v>0.5</v>
      </c>
      <c r="S23" s="10">
        <f t="shared" si="1"/>
        <v>0.4</v>
      </c>
      <c r="T23" s="10">
        <f t="shared" si="1"/>
        <v>0.4</v>
      </c>
      <c r="U23" s="10">
        <f t="shared" si="1"/>
        <v>1.7</v>
      </c>
      <c r="V23" s="10">
        <f t="shared" si="1"/>
        <v>2.4</v>
      </c>
      <c r="W23" s="10">
        <f t="shared" si="1"/>
        <v>0.5</v>
      </c>
    </row>
    <row r="24" spans="1:26" hidden="1" x14ac:dyDescent="0.3">
      <c r="B24" s="1" t="s">
        <v>36</v>
      </c>
      <c r="G24" s="10">
        <f t="shared" ref="G24:W24" si="2">MAX(G4:G21)</f>
        <v>12</v>
      </c>
      <c r="H24" s="10">
        <f t="shared" si="2"/>
        <v>15</v>
      </c>
      <c r="I24" s="10">
        <f t="shared" si="2"/>
        <v>5.2</v>
      </c>
      <c r="J24" s="10">
        <f t="shared" si="2"/>
        <v>3.8</v>
      </c>
      <c r="K24" s="11">
        <f t="shared" si="2"/>
        <v>4.46</v>
      </c>
      <c r="L24" s="10">
        <f t="shared" si="2"/>
        <v>50.6</v>
      </c>
      <c r="M24" s="11">
        <f t="shared" si="2"/>
        <v>0.35</v>
      </c>
      <c r="N24" s="11">
        <f t="shared" si="2"/>
        <v>0.53</v>
      </c>
      <c r="O24" s="7">
        <f t="shared" si="2"/>
        <v>25</v>
      </c>
      <c r="P24" s="10">
        <f t="shared" si="2"/>
        <v>1.5</v>
      </c>
      <c r="Q24" s="10">
        <f t="shared" si="2"/>
        <v>3.3</v>
      </c>
      <c r="R24" s="10">
        <f t="shared" si="2"/>
        <v>1.9</v>
      </c>
      <c r="S24" s="10">
        <f t="shared" si="2"/>
        <v>1.7</v>
      </c>
      <c r="T24" s="10">
        <f t="shared" si="2"/>
        <v>1.7</v>
      </c>
      <c r="U24" s="10">
        <f t="shared" si="2"/>
        <v>3.8</v>
      </c>
      <c r="V24" s="10">
        <f t="shared" si="2"/>
        <v>4.8</v>
      </c>
      <c r="W24" s="10">
        <f t="shared" si="2"/>
        <v>2</v>
      </c>
    </row>
    <row r="25" spans="1:26" hidden="1" x14ac:dyDescent="0.3">
      <c r="B25" s="1" t="s">
        <v>37</v>
      </c>
      <c r="G25" s="10">
        <f t="shared" ref="G25:W25" si="3">STDEV(G4:G21)</f>
        <v>0.14473324572571675</v>
      </c>
      <c r="H25" s="10">
        <f t="shared" si="3"/>
        <v>0.51892296706894181</v>
      </c>
      <c r="I25" s="10">
        <f t="shared" si="3"/>
        <v>0.10431851677040102</v>
      </c>
      <c r="J25" s="10">
        <f t="shared" si="3"/>
        <v>0.17785945835997755</v>
      </c>
      <c r="K25" s="11">
        <f t="shared" si="3"/>
        <v>0.22177242059360688</v>
      </c>
      <c r="L25" s="10">
        <f t="shared" si="3"/>
        <v>1.4640797149625113</v>
      </c>
      <c r="M25" s="11">
        <f t="shared" si="3"/>
        <v>5.1105427362291032E-2</v>
      </c>
      <c r="N25" s="11">
        <f t="shared" si="3"/>
        <v>3.9228674319799414E-2</v>
      </c>
      <c r="O25" s="7">
        <f t="shared" si="3"/>
        <v>0</v>
      </c>
      <c r="P25" s="10">
        <f t="shared" si="3"/>
        <v>0.35114192799318511</v>
      </c>
      <c r="Q25" s="10">
        <f t="shared" si="3"/>
        <v>0.65728695696084605</v>
      </c>
      <c r="R25" s="10">
        <f t="shared" si="3"/>
        <v>0.48209781233023108</v>
      </c>
      <c r="S25" s="10">
        <f t="shared" si="3"/>
        <v>0.39823959024917399</v>
      </c>
      <c r="T25" s="10">
        <f t="shared" si="3"/>
        <v>0.40952706662765742</v>
      </c>
      <c r="U25" s="10">
        <f t="shared" si="3"/>
        <v>0.68169339321497258</v>
      </c>
      <c r="V25" s="10">
        <f t="shared" si="3"/>
        <v>0.82898867436306312</v>
      </c>
      <c r="W25" s="10">
        <f t="shared" si="3"/>
        <v>0.47434164902525711</v>
      </c>
    </row>
    <row r="27" spans="1:26" x14ac:dyDescent="0.3">
      <c r="B27" s="1" t="s">
        <v>38</v>
      </c>
      <c r="G27" s="10" t="s">
        <v>39</v>
      </c>
      <c r="H27" s="10" t="s">
        <v>39</v>
      </c>
      <c r="I27" s="10" t="s">
        <v>39</v>
      </c>
      <c r="J27" s="10" t="s">
        <v>39</v>
      </c>
      <c r="K27" s="11" t="s">
        <v>39</v>
      </c>
      <c r="L27" s="10" t="s">
        <v>39</v>
      </c>
      <c r="M27" s="11" t="s">
        <v>39</v>
      </c>
      <c r="N27" s="11" t="s">
        <v>39</v>
      </c>
      <c r="O27" s="7" t="s">
        <v>39</v>
      </c>
      <c r="P27" s="10" t="s">
        <v>39</v>
      </c>
      <c r="Q27" s="10" t="s">
        <v>39</v>
      </c>
      <c r="R27" s="10" t="s">
        <v>39</v>
      </c>
      <c r="S27" s="10" t="s">
        <v>39</v>
      </c>
      <c r="T27" s="10" t="s">
        <v>39</v>
      </c>
      <c r="U27" s="10" t="s">
        <v>39</v>
      </c>
      <c r="V27" s="10" t="s">
        <v>39</v>
      </c>
      <c r="W27" s="10" t="s">
        <v>39</v>
      </c>
    </row>
  </sheetData>
  <autoFilter ref="A3:Z25" xr:uid="{CDEF4E11-9463-48B6-BA56-449657CDD72A}">
    <filterColumn colId="4">
      <filters>
        <filter val="L1 APM - LB"/>
        <filter val="L2 APM - LB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FED8-2668-44C8-A913-BFAC0E056CE2}">
  <sheetPr filterMode="1"/>
  <dimension ref="A1:V28"/>
  <sheetViews>
    <sheetView workbookViewId="0">
      <selection activeCell="L38" sqref="L38"/>
    </sheetView>
  </sheetViews>
  <sheetFormatPr baseColWidth="10" defaultRowHeight="14.4" x14ac:dyDescent="0.3"/>
  <cols>
    <col min="1" max="1" width="4" bestFit="1" customWidth="1"/>
    <col min="2" max="2" width="29.6640625" bestFit="1" customWidth="1"/>
    <col min="3" max="3" width="7.44140625" bestFit="1" customWidth="1"/>
    <col min="4" max="4" width="14.77734375" bestFit="1" customWidth="1"/>
    <col min="5" max="5" width="13.109375" customWidth="1"/>
    <col min="7" max="19" width="11.6640625" bestFit="1" customWidth="1"/>
    <col min="20" max="21" width="17.88671875" bestFit="1" customWidth="1"/>
    <col min="22" max="22" width="11.6640625" bestFit="1" customWidth="1"/>
  </cols>
  <sheetData>
    <row r="1" spans="1:22" s="1" customFormat="1" ht="13.8" x14ac:dyDescent="0.25">
      <c r="A1" s="1" t="s">
        <v>0</v>
      </c>
    </row>
    <row r="3" spans="1:22" x14ac:dyDescent="0.3">
      <c r="A3" s="2" t="s">
        <v>1</v>
      </c>
      <c r="B3" s="2" t="s">
        <v>145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7</v>
      </c>
      <c r="N3" s="2" t="s">
        <v>48</v>
      </c>
      <c r="O3" s="2" t="s">
        <v>49</v>
      </c>
      <c r="P3" s="2" t="s">
        <v>77</v>
      </c>
      <c r="Q3" s="2" t="s">
        <v>51</v>
      </c>
      <c r="R3" s="2" t="s">
        <v>52</v>
      </c>
      <c r="S3" s="2" t="s">
        <v>53</v>
      </c>
      <c r="T3" s="2" t="s">
        <v>9</v>
      </c>
      <c r="U3" s="2" t="s">
        <v>10</v>
      </c>
      <c r="V3" s="2" t="s">
        <v>11</v>
      </c>
    </row>
    <row r="4" spans="1:22" hidden="1" x14ac:dyDescent="0.3">
      <c r="A4" s="2">
        <v>84</v>
      </c>
      <c r="B4" t="s">
        <v>146</v>
      </c>
      <c r="C4" t="s">
        <v>13</v>
      </c>
      <c r="D4" t="s">
        <v>147</v>
      </c>
      <c r="E4" t="s">
        <v>15</v>
      </c>
      <c r="F4" t="s">
        <v>145</v>
      </c>
      <c r="G4" s="8">
        <v>13.7</v>
      </c>
      <c r="H4" s="8">
        <v>6.5</v>
      </c>
      <c r="I4" s="8">
        <v>1.6</v>
      </c>
      <c r="J4" s="8">
        <v>3</v>
      </c>
      <c r="K4" s="8">
        <v>1.1000000000000001</v>
      </c>
      <c r="L4" s="8">
        <v>62</v>
      </c>
      <c r="M4" s="3">
        <v>25</v>
      </c>
      <c r="N4" s="8">
        <v>12.2</v>
      </c>
      <c r="O4" s="8">
        <v>10.6</v>
      </c>
      <c r="P4" s="4" t="s">
        <v>148</v>
      </c>
      <c r="Q4" s="8">
        <v>14.5</v>
      </c>
      <c r="R4" s="4" t="s">
        <v>149</v>
      </c>
      <c r="S4" s="8">
        <v>6</v>
      </c>
      <c r="T4" s="5">
        <v>45979.441423611112</v>
      </c>
      <c r="U4" s="5">
        <v>45979.441620370373</v>
      </c>
      <c r="V4" s="6">
        <v>1.9675926887430251E-4</v>
      </c>
    </row>
    <row r="5" spans="1:22" hidden="1" x14ac:dyDescent="0.3">
      <c r="A5" s="2">
        <v>85</v>
      </c>
      <c r="B5" t="s">
        <v>150</v>
      </c>
      <c r="C5" t="s">
        <v>13</v>
      </c>
      <c r="D5" t="s">
        <v>147</v>
      </c>
      <c r="E5" t="s">
        <v>15</v>
      </c>
      <c r="F5" t="s">
        <v>145</v>
      </c>
      <c r="G5" s="8">
        <v>13.8</v>
      </c>
      <c r="H5" s="8">
        <v>7.2</v>
      </c>
      <c r="I5" s="8">
        <v>1.6</v>
      </c>
      <c r="J5" s="8">
        <v>3.2</v>
      </c>
      <c r="K5" s="8">
        <v>1.1000000000000001</v>
      </c>
      <c r="L5" s="8">
        <v>60.6</v>
      </c>
      <c r="M5" s="3">
        <v>25</v>
      </c>
      <c r="N5" s="8">
        <v>12</v>
      </c>
      <c r="O5" s="8">
        <v>11.6</v>
      </c>
      <c r="P5" s="4" t="s">
        <v>148</v>
      </c>
      <c r="Q5" s="8">
        <v>15.2</v>
      </c>
      <c r="R5" s="4" t="s">
        <v>149</v>
      </c>
      <c r="S5" s="8">
        <v>5</v>
      </c>
      <c r="T5" s="5">
        <v>45979.441747685189</v>
      </c>
      <c r="U5" s="5">
        <v>45979.441863425927</v>
      </c>
      <c r="V5" s="6">
        <v>1.1574075324460864E-4</v>
      </c>
    </row>
    <row r="6" spans="1:22" hidden="1" x14ac:dyDescent="0.3">
      <c r="A6" s="2">
        <v>86</v>
      </c>
      <c r="B6" t="s">
        <v>151</v>
      </c>
      <c r="C6" t="s">
        <v>13</v>
      </c>
      <c r="D6" t="s">
        <v>147</v>
      </c>
      <c r="E6" t="s">
        <v>15</v>
      </c>
      <c r="F6" t="s">
        <v>145</v>
      </c>
      <c r="G6" s="8">
        <v>13.7</v>
      </c>
      <c r="H6" s="8">
        <v>7.2</v>
      </c>
      <c r="I6" s="8">
        <v>1.6</v>
      </c>
      <c r="J6" s="8">
        <v>3</v>
      </c>
      <c r="K6" s="8">
        <v>1.1000000000000001</v>
      </c>
      <c r="L6" s="8">
        <v>61.1</v>
      </c>
      <c r="M6" s="3">
        <v>25</v>
      </c>
      <c r="N6" s="8">
        <v>11</v>
      </c>
      <c r="O6" s="8">
        <v>10.9</v>
      </c>
      <c r="P6" s="4" t="s">
        <v>148</v>
      </c>
      <c r="Q6" s="8">
        <v>15.3</v>
      </c>
      <c r="R6" s="4" t="s">
        <v>149</v>
      </c>
      <c r="S6" s="8">
        <v>5.8</v>
      </c>
      <c r="T6" s="5">
        <v>45979.441979166666</v>
      </c>
      <c r="U6" s="5">
        <v>45979.442141203705</v>
      </c>
      <c r="V6" s="6">
        <v>1.6203703125938773E-4</v>
      </c>
    </row>
    <row r="7" spans="1:22" hidden="1" x14ac:dyDescent="0.3">
      <c r="A7" s="2">
        <v>87</v>
      </c>
      <c r="B7" t="s">
        <v>152</v>
      </c>
      <c r="C7" t="s">
        <v>13</v>
      </c>
      <c r="D7" t="s">
        <v>147</v>
      </c>
      <c r="E7" t="s">
        <v>15</v>
      </c>
      <c r="F7" t="s">
        <v>145</v>
      </c>
      <c r="G7" s="8">
        <v>13.9</v>
      </c>
      <c r="H7" s="8">
        <v>6.7</v>
      </c>
      <c r="I7" s="8">
        <v>1.6</v>
      </c>
      <c r="J7" s="8">
        <v>3.5</v>
      </c>
      <c r="K7" s="8">
        <v>1.3</v>
      </c>
      <c r="L7" s="8">
        <v>58.9</v>
      </c>
      <c r="M7" s="3">
        <v>25</v>
      </c>
      <c r="N7" s="8">
        <v>14.3</v>
      </c>
      <c r="O7" s="8">
        <v>14.7</v>
      </c>
      <c r="P7" s="4" t="s">
        <v>148</v>
      </c>
      <c r="Q7" s="8">
        <v>15.5</v>
      </c>
      <c r="R7" s="4" t="s">
        <v>149</v>
      </c>
      <c r="S7" s="8">
        <v>5.5</v>
      </c>
      <c r="T7" s="5">
        <v>45979.442372685182</v>
      </c>
      <c r="U7" s="5">
        <v>45979.442488425928</v>
      </c>
      <c r="V7" s="6">
        <v>1.1574075324460864E-4</v>
      </c>
    </row>
    <row r="8" spans="1:22" hidden="1" x14ac:dyDescent="0.3">
      <c r="A8" s="2">
        <v>88</v>
      </c>
      <c r="B8" t="s">
        <v>153</v>
      </c>
      <c r="C8" t="s">
        <v>13</v>
      </c>
      <c r="D8" t="s">
        <v>147</v>
      </c>
      <c r="E8" t="s">
        <v>18</v>
      </c>
      <c r="F8" t="s">
        <v>145</v>
      </c>
      <c r="G8" s="8">
        <v>13.8</v>
      </c>
      <c r="H8" s="8">
        <v>7.5</v>
      </c>
      <c r="I8" s="8">
        <v>1.8</v>
      </c>
      <c r="J8" s="8">
        <v>4.0999999999999996</v>
      </c>
      <c r="K8" s="8">
        <v>1.1000000000000001</v>
      </c>
      <c r="L8" s="8">
        <v>60.4</v>
      </c>
      <c r="M8" s="3">
        <v>25</v>
      </c>
      <c r="N8" s="8">
        <v>14.8</v>
      </c>
      <c r="O8" s="8">
        <v>14.8</v>
      </c>
      <c r="P8" s="4" t="s">
        <v>148</v>
      </c>
      <c r="Q8" s="8">
        <v>12.5</v>
      </c>
      <c r="R8" s="4" t="s">
        <v>149</v>
      </c>
      <c r="S8" s="8">
        <v>7.8</v>
      </c>
      <c r="T8" s="5">
        <v>45979.447060185186</v>
      </c>
      <c r="U8" s="5">
        <v>45979.447222222225</v>
      </c>
      <c r="V8" s="6">
        <v>1.6203703125938773E-4</v>
      </c>
    </row>
    <row r="9" spans="1:22" hidden="1" x14ac:dyDescent="0.3">
      <c r="A9" s="2">
        <v>89</v>
      </c>
      <c r="B9" t="s">
        <v>154</v>
      </c>
      <c r="C9" t="s">
        <v>13</v>
      </c>
      <c r="D9" t="s">
        <v>147</v>
      </c>
      <c r="E9" t="s">
        <v>18</v>
      </c>
      <c r="F9" t="s">
        <v>145</v>
      </c>
      <c r="G9" s="8">
        <v>13.6</v>
      </c>
      <c r="H9" s="8">
        <v>6.9</v>
      </c>
      <c r="I9" s="8">
        <v>1.6</v>
      </c>
      <c r="J9" s="8">
        <v>3.3</v>
      </c>
      <c r="K9" s="8">
        <v>0.9</v>
      </c>
      <c r="L9" s="8">
        <v>63.7</v>
      </c>
      <c r="M9" s="3">
        <v>25</v>
      </c>
      <c r="N9" s="8">
        <v>11.4</v>
      </c>
      <c r="O9" s="8">
        <v>10.3</v>
      </c>
      <c r="P9" s="8">
        <v>9.5</v>
      </c>
      <c r="Q9" s="8">
        <v>11.4</v>
      </c>
      <c r="R9" s="4" t="s">
        <v>149</v>
      </c>
      <c r="S9" s="8">
        <v>5.5</v>
      </c>
      <c r="T9" s="5">
        <v>45979.44734953704</v>
      </c>
      <c r="U9" s="5">
        <v>45979.447465277779</v>
      </c>
      <c r="V9" s="6">
        <v>1.1574075324460864E-4</v>
      </c>
    </row>
    <row r="10" spans="1:22" hidden="1" x14ac:dyDescent="0.3">
      <c r="A10" s="2">
        <v>90</v>
      </c>
      <c r="B10" t="s">
        <v>155</v>
      </c>
      <c r="C10" t="s">
        <v>13</v>
      </c>
      <c r="D10" t="s">
        <v>147</v>
      </c>
      <c r="E10" t="s">
        <v>18</v>
      </c>
      <c r="F10" t="s">
        <v>145</v>
      </c>
      <c r="G10" s="8">
        <v>13.6</v>
      </c>
      <c r="H10" s="8">
        <v>7.3</v>
      </c>
      <c r="I10" s="8">
        <v>1.7</v>
      </c>
      <c r="J10" s="8">
        <v>3.4</v>
      </c>
      <c r="K10" s="8">
        <v>1</v>
      </c>
      <c r="L10" s="8">
        <v>62.3</v>
      </c>
      <c r="M10" s="3">
        <v>25</v>
      </c>
      <c r="N10" s="8">
        <v>11.4</v>
      </c>
      <c r="O10" s="8">
        <v>10.9</v>
      </c>
      <c r="P10" s="8">
        <v>12.3</v>
      </c>
      <c r="Q10" s="8">
        <v>12.1</v>
      </c>
      <c r="R10" s="4" t="s">
        <v>149</v>
      </c>
      <c r="S10" s="8">
        <v>6.2</v>
      </c>
      <c r="T10" s="5">
        <v>45979.447592592594</v>
      </c>
      <c r="U10" s="5">
        <v>45979.44771990741</v>
      </c>
      <c r="V10" s="6">
        <v>1.1574075324460864E-4</v>
      </c>
    </row>
    <row r="11" spans="1:22" x14ac:dyDescent="0.3">
      <c r="A11" s="2">
        <v>91</v>
      </c>
      <c r="B11" t="s">
        <v>156</v>
      </c>
      <c r="C11" t="s">
        <v>13</v>
      </c>
      <c r="D11" t="s">
        <v>147</v>
      </c>
      <c r="E11" t="s">
        <v>22</v>
      </c>
      <c r="F11" t="s">
        <v>145</v>
      </c>
      <c r="G11" s="8">
        <v>13.7</v>
      </c>
      <c r="H11" s="8">
        <v>7.1</v>
      </c>
      <c r="I11" s="8">
        <v>1.7</v>
      </c>
      <c r="J11" s="8">
        <v>3.8</v>
      </c>
      <c r="K11" s="8">
        <v>1.4</v>
      </c>
      <c r="L11" s="8">
        <v>57.9</v>
      </c>
      <c r="M11" s="3">
        <v>25</v>
      </c>
      <c r="N11" s="8">
        <v>11.5</v>
      </c>
      <c r="O11" s="8">
        <v>11.3</v>
      </c>
      <c r="P11" s="8">
        <v>10.7</v>
      </c>
      <c r="Q11" s="8">
        <v>6.3</v>
      </c>
      <c r="R11" s="4" t="s">
        <v>149</v>
      </c>
      <c r="S11" s="8">
        <v>3.8</v>
      </c>
      <c r="T11" s="5">
        <v>45979.665590277778</v>
      </c>
      <c r="U11" s="5">
        <v>45979.66578703704</v>
      </c>
      <c r="V11" s="6">
        <v>1.9675926887430251E-4</v>
      </c>
    </row>
    <row r="12" spans="1:22" x14ac:dyDescent="0.3">
      <c r="A12" s="2">
        <v>92</v>
      </c>
      <c r="B12" t="s">
        <v>157</v>
      </c>
      <c r="C12" t="s">
        <v>13</v>
      </c>
      <c r="D12" t="s">
        <v>147</v>
      </c>
      <c r="E12" t="s">
        <v>22</v>
      </c>
      <c r="F12" t="s">
        <v>145</v>
      </c>
      <c r="G12" s="8">
        <v>13.8</v>
      </c>
      <c r="H12" s="8">
        <v>7</v>
      </c>
      <c r="I12" s="8">
        <v>1.7</v>
      </c>
      <c r="J12" s="8">
        <v>3.5</v>
      </c>
      <c r="K12" s="8">
        <v>1.2</v>
      </c>
      <c r="L12" s="8">
        <v>60.8</v>
      </c>
      <c r="M12" s="3">
        <v>25</v>
      </c>
      <c r="N12" s="8">
        <v>11</v>
      </c>
      <c r="O12" s="8">
        <v>10.3</v>
      </c>
      <c r="P12" s="8">
        <v>9</v>
      </c>
      <c r="Q12" s="8">
        <v>8.8000000000000007</v>
      </c>
      <c r="R12" s="4" t="s">
        <v>149</v>
      </c>
      <c r="S12" s="8">
        <v>4</v>
      </c>
      <c r="T12" s="5">
        <v>45979.665879629632</v>
      </c>
      <c r="U12" s="5">
        <v>45979.666041666664</v>
      </c>
      <c r="V12" s="6">
        <v>1.6203703125938773E-4</v>
      </c>
    </row>
    <row r="13" spans="1:22" x14ac:dyDescent="0.3">
      <c r="A13" s="2">
        <v>93</v>
      </c>
      <c r="B13" t="s">
        <v>158</v>
      </c>
      <c r="C13" t="s">
        <v>13</v>
      </c>
      <c r="D13" t="s">
        <v>147</v>
      </c>
      <c r="E13" t="s">
        <v>22</v>
      </c>
      <c r="F13" t="s">
        <v>145</v>
      </c>
      <c r="G13" s="8">
        <v>13.5</v>
      </c>
      <c r="H13" s="8">
        <v>7.1</v>
      </c>
      <c r="I13" s="8">
        <v>1.7</v>
      </c>
      <c r="J13" s="8">
        <v>3.4</v>
      </c>
      <c r="K13" s="8">
        <v>1.1000000000000001</v>
      </c>
      <c r="L13" s="8">
        <v>61.1</v>
      </c>
      <c r="M13" s="3">
        <v>25</v>
      </c>
      <c r="N13" s="8">
        <v>10</v>
      </c>
      <c r="O13" s="8">
        <v>9.4</v>
      </c>
      <c r="P13" s="8">
        <v>10.1</v>
      </c>
      <c r="Q13" s="8">
        <v>8.6</v>
      </c>
      <c r="R13" s="4" t="s">
        <v>149</v>
      </c>
      <c r="S13" s="8">
        <v>5.2</v>
      </c>
      <c r="T13" s="5">
        <v>45979.66615740741</v>
      </c>
      <c r="U13" s="5">
        <v>45979.666307870371</v>
      </c>
      <c r="V13" s="6">
        <v>1.6203703125938773E-4</v>
      </c>
    </row>
    <row r="14" spans="1:22" hidden="1" x14ac:dyDescent="0.3">
      <c r="A14" s="2">
        <v>94</v>
      </c>
      <c r="B14" t="s">
        <v>159</v>
      </c>
      <c r="C14" t="s">
        <v>13</v>
      </c>
      <c r="D14" t="s">
        <v>147</v>
      </c>
      <c r="E14" t="s">
        <v>25</v>
      </c>
      <c r="F14" t="s">
        <v>145</v>
      </c>
      <c r="G14" s="8">
        <v>13.6</v>
      </c>
      <c r="H14" s="8">
        <v>7</v>
      </c>
      <c r="I14" s="8">
        <v>1.8</v>
      </c>
      <c r="J14" s="8">
        <v>3.6</v>
      </c>
      <c r="K14" s="8">
        <v>1</v>
      </c>
      <c r="L14" s="8">
        <v>62.6</v>
      </c>
      <c r="M14" s="3">
        <v>25</v>
      </c>
      <c r="N14" s="8">
        <v>12.3</v>
      </c>
      <c r="O14" s="8">
        <v>12.1</v>
      </c>
      <c r="P14" s="8">
        <v>12.4</v>
      </c>
      <c r="Q14" s="8">
        <v>13</v>
      </c>
      <c r="R14" s="4" t="s">
        <v>149</v>
      </c>
      <c r="S14" s="8">
        <v>4.8</v>
      </c>
      <c r="T14" s="5">
        <v>45979.679571759261</v>
      </c>
      <c r="U14" s="5">
        <v>45979.679803240739</v>
      </c>
      <c r="V14" s="6">
        <v>2.430555468890816E-4</v>
      </c>
    </row>
    <row r="15" spans="1:22" hidden="1" x14ac:dyDescent="0.3">
      <c r="A15" s="2">
        <v>95</v>
      </c>
      <c r="B15" t="s">
        <v>160</v>
      </c>
      <c r="C15" t="s">
        <v>13</v>
      </c>
      <c r="D15" t="s">
        <v>147</v>
      </c>
      <c r="E15" t="s">
        <v>25</v>
      </c>
      <c r="F15" t="s">
        <v>145</v>
      </c>
      <c r="G15" s="8">
        <v>13.5</v>
      </c>
      <c r="H15" s="8">
        <v>7.4</v>
      </c>
      <c r="I15" s="8">
        <v>1.8</v>
      </c>
      <c r="J15" s="8">
        <v>3.5</v>
      </c>
      <c r="K15" s="8">
        <v>1</v>
      </c>
      <c r="L15" s="8">
        <v>62.3</v>
      </c>
      <c r="M15" s="3">
        <v>25</v>
      </c>
      <c r="N15" s="8">
        <v>10.1</v>
      </c>
      <c r="O15" s="8">
        <v>10.4</v>
      </c>
      <c r="P15" s="8">
        <v>11.9</v>
      </c>
      <c r="Q15" s="8">
        <v>11.4</v>
      </c>
      <c r="R15" s="4" t="s">
        <v>149</v>
      </c>
      <c r="S15" s="8">
        <v>5.5</v>
      </c>
      <c r="T15" s="5">
        <v>45979.679988425924</v>
      </c>
      <c r="U15" s="5">
        <v>45979.680138888885</v>
      </c>
      <c r="V15" s="6">
        <v>1.6203703125938773E-4</v>
      </c>
    </row>
    <row r="16" spans="1:22" hidden="1" x14ac:dyDescent="0.3">
      <c r="A16" s="2">
        <v>96</v>
      </c>
      <c r="B16" t="s">
        <v>161</v>
      </c>
      <c r="C16" t="s">
        <v>13</v>
      </c>
      <c r="D16" t="s">
        <v>147</v>
      </c>
      <c r="E16" t="s">
        <v>25</v>
      </c>
      <c r="F16" t="s">
        <v>145</v>
      </c>
      <c r="G16" s="8">
        <v>13.4</v>
      </c>
      <c r="H16" s="8">
        <v>7.6</v>
      </c>
      <c r="I16" s="8">
        <v>1.8</v>
      </c>
      <c r="J16" s="8">
        <v>3.7</v>
      </c>
      <c r="K16" s="8">
        <v>1</v>
      </c>
      <c r="L16" s="8">
        <v>61.9</v>
      </c>
      <c r="M16" s="3">
        <v>25</v>
      </c>
      <c r="N16" s="8">
        <v>12.3</v>
      </c>
      <c r="O16" s="8">
        <v>12.1</v>
      </c>
      <c r="P16" s="4" t="s">
        <v>148</v>
      </c>
      <c r="Q16" s="8">
        <v>14.2</v>
      </c>
      <c r="R16" s="4" t="s">
        <v>149</v>
      </c>
      <c r="S16" s="8">
        <v>7.4</v>
      </c>
      <c r="T16" s="5">
        <v>45979.680254629631</v>
      </c>
      <c r="U16" s="5">
        <v>45979.680497685185</v>
      </c>
      <c r="V16" s="6">
        <v>2.430555468890816E-4</v>
      </c>
    </row>
    <row r="17" spans="1:22" x14ac:dyDescent="0.3">
      <c r="A17" s="2">
        <v>97</v>
      </c>
      <c r="B17" t="s">
        <v>162</v>
      </c>
      <c r="C17" t="s">
        <v>13</v>
      </c>
      <c r="D17" t="s">
        <v>147</v>
      </c>
      <c r="E17" t="s">
        <v>29</v>
      </c>
      <c r="F17" t="s">
        <v>145</v>
      </c>
      <c r="G17" s="8">
        <v>13.5</v>
      </c>
      <c r="H17" s="8">
        <v>7.2</v>
      </c>
      <c r="I17" s="8">
        <v>1.7</v>
      </c>
      <c r="J17" s="8">
        <v>3.7</v>
      </c>
      <c r="K17" s="8">
        <v>1.3</v>
      </c>
      <c r="L17" s="8">
        <v>60.6</v>
      </c>
      <c r="M17" s="3">
        <v>25</v>
      </c>
      <c r="N17" s="8">
        <v>7.3</v>
      </c>
      <c r="O17" s="8">
        <v>8.1999999999999993</v>
      </c>
      <c r="P17" s="8">
        <v>9.1999999999999993</v>
      </c>
      <c r="Q17" s="8">
        <v>9</v>
      </c>
      <c r="R17" s="4" t="s">
        <v>149</v>
      </c>
      <c r="S17" s="8">
        <v>5.2</v>
      </c>
      <c r="T17" s="5">
        <v>45979.683865740742</v>
      </c>
      <c r="U17" s="5">
        <v>45979.684062499997</v>
      </c>
      <c r="V17" s="6">
        <v>1.9675926887430251E-4</v>
      </c>
    </row>
    <row r="18" spans="1:22" x14ac:dyDescent="0.3">
      <c r="A18" s="2">
        <v>98</v>
      </c>
      <c r="B18" t="s">
        <v>163</v>
      </c>
      <c r="C18" t="s">
        <v>13</v>
      </c>
      <c r="D18" t="s">
        <v>147</v>
      </c>
      <c r="E18" t="s">
        <v>29</v>
      </c>
      <c r="F18" t="s">
        <v>145</v>
      </c>
      <c r="G18" s="8">
        <v>13.6</v>
      </c>
      <c r="H18" s="8">
        <v>7.3</v>
      </c>
      <c r="I18" s="8">
        <v>1.7</v>
      </c>
      <c r="J18" s="8">
        <v>3.8</v>
      </c>
      <c r="K18" s="8">
        <v>1.3</v>
      </c>
      <c r="L18" s="8">
        <v>59.8</v>
      </c>
      <c r="M18" s="3">
        <v>25</v>
      </c>
      <c r="N18" s="8">
        <v>9.5</v>
      </c>
      <c r="O18" s="8">
        <v>10.1</v>
      </c>
      <c r="P18" s="8">
        <v>11.2</v>
      </c>
      <c r="Q18" s="8">
        <v>9.8000000000000007</v>
      </c>
      <c r="R18" s="4" t="s">
        <v>149</v>
      </c>
      <c r="S18" s="8">
        <v>6</v>
      </c>
      <c r="T18" s="5">
        <v>45979.684224537035</v>
      </c>
      <c r="U18" s="5">
        <v>45979.684548611112</v>
      </c>
      <c r="V18" s="6">
        <v>3.1249999301508069E-4</v>
      </c>
    </row>
    <row r="19" spans="1:22" x14ac:dyDescent="0.3">
      <c r="A19" s="2">
        <v>99</v>
      </c>
      <c r="B19" t="s">
        <v>164</v>
      </c>
      <c r="C19" t="s">
        <v>13</v>
      </c>
      <c r="D19" t="s">
        <v>147</v>
      </c>
      <c r="E19" t="s">
        <v>29</v>
      </c>
      <c r="F19" t="s">
        <v>145</v>
      </c>
      <c r="G19" s="8">
        <v>13.5</v>
      </c>
      <c r="H19" s="8">
        <v>7.5</v>
      </c>
      <c r="I19" s="8">
        <v>1.6</v>
      </c>
      <c r="J19" s="8">
        <v>3.9</v>
      </c>
      <c r="K19" s="8">
        <v>1.3</v>
      </c>
      <c r="L19" s="8">
        <v>58.9</v>
      </c>
      <c r="M19" s="3">
        <v>25</v>
      </c>
      <c r="N19" s="8">
        <v>10.5</v>
      </c>
      <c r="O19" s="8">
        <v>11.1</v>
      </c>
      <c r="P19" s="4" t="s">
        <v>148</v>
      </c>
      <c r="Q19" s="8">
        <v>9.4</v>
      </c>
      <c r="R19" s="4" t="s">
        <v>149</v>
      </c>
      <c r="S19" s="8">
        <v>8.6999999999999993</v>
      </c>
      <c r="T19" s="5">
        <v>45979.684675925928</v>
      </c>
      <c r="U19" s="5">
        <v>45979.684837962966</v>
      </c>
      <c r="V19" s="6">
        <v>1.6203703125938773E-4</v>
      </c>
    </row>
    <row r="20" spans="1:22" hidden="1" x14ac:dyDescent="0.3">
      <c r="A20" s="2">
        <v>100</v>
      </c>
      <c r="B20" t="s">
        <v>165</v>
      </c>
      <c r="C20" t="s">
        <v>13</v>
      </c>
      <c r="D20" t="s">
        <v>147</v>
      </c>
      <c r="E20" t="s">
        <v>33</v>
      </c>
      <c r="F20" t="s">
        <v>145</v>
      </c>
      <c r="G20" s="8">
        <v>13.6</v>
      </c>
      <c r="H20" s="8">
        <v>6.8</v>
      </c>
      <c r="I20" s="8">
        <v>1.7</v>
      </c>
      <c r="J20" s="8">
        <v>3.3</v>
      </c>
      <c r="K20" s="8">
        <v>1.1000000000000001</v>
      </c>
      <c r="L20" s="8">
        <v>61.9</v>
      </c>
      <c r="M20" s="3">
        <v>25</v>
      </c>
      <c r="N20" s="8">
        <v>11.7</v>
      </c>
      <c r="O20" s="8">
        <v>8.9</v>
      </c>
      <c r="P20" s="8">
        <v>7.6</v>
      </c>
      <c r="Q20" s="8">
        <v>7.9</v>
      </c>
      <c r="R20" s="4" t="s">
        <v>149</v>
      </c>
      <c r="S20" s="8">
        <v>4.0999999999999996</v>
      </c>
      <c r="T20" s="5">
        <v>45979.707627314812</v>
      </c>
      <c r="U20" s="5">
        <v>45979.707835648151</v>
      </c>
      <c r="V20" s="6">
        <v>1.9675926887430251E-4</v>
      </c>
    </row>
    <row r="21" spans="1:22" hidden="1" x14ac:dyDescent="0.3">
      <c r="A21" s="2">
        <v>101</v>
      </c>
      <c r="B21" t="s">
        <v>166</v>
      </c>
      <c r="C21" t="s">
        <v>13</v>
      </c>
      <c r="D21" t="s">
        <v>147</v>
      </c>
      <c r="E21" t="s">
        <v>33</v>
      </c>
      <c r="F21" t="s">
        <v>145</v>
      </c>
      <c r="G21" s="8">
        <v>13.6</v>
      </c>
      <c r="H21" s="8">
        <v>7</v>
      </c>
      <c r="I21" s="8">
        <v>1.8</v>
      </c>
      <c r="J21" s="8">
        <v>3.9</v>
      </c>
      <c r="K21" s="8">
        <v>1.3</v>
      </c>
      <c r="L21" s="8">
        <v>58.9</v>
      </c>
      <c r="M21" s="3">
        <v>25</v>
      </c>
      <c r="N21" s="8">
        <v>12</v>
      </c>
      <c r="O21" s="8">
        <v>12</v>
      </c>
      <c r="P21" s="4" t="s">
        <v>148</v>
      </c>
      <c r="Q21" s="8">
        <v>8.5</v>
      </c>
      <c r="R21" s="4" t="s">
        <v>149</v>
      </c>
      <c r="S21" s="8">
        <v>5.2</v>
      </c>
      <c r="T21" s="5">
        <v>45979.707939814813</v>
      </c>
      <c r="U21" s="5">
        <v>45979.708067129628</v>
      </c>
      <c r="V21" s="6">
        <v>1.1574075324460864E-4</v>
      </c>
    </row>
    <row r="22" spans="1:22" hidden="1" x14ac:dyDescent="0.3">
      <c r="A22" s="2">
        <v>102</v>
      </c>
      <c r="B22" t="s">
        <v>167</v>
      </c>
      <c r="C22" t="s">
        <v>13</v>
      </c>
      <c r="D22" t="s">
        <v>147</v>
      </c>
      <c r="E22" t="s">
        <v>33</v>
      </c>
      <c r="F22" t="s">
        <v>145</v>
      </c>
      <c r="G22" s="8">
        <v>13.6</v>
      </c>
      <c r="H22" s="8">
        <v>6.8</v>
      </c>
      <c r="I22" s="8">
        <v>1.7</v>
      </c>
      <c r="J22" s="8">
        <v>3.4</v>
      </c>
      <c r="K22" s="8">
        <v>1</v>
      </c>
      <c r="L22" s="8">
        <v>61.8</v>
      </c>
      <c r="M22" s="3">
        <v>25</v>
      </c>
      <c r="N22" s="8">
        <v>10.9</v>
      </c>
      <c r="O22" s="8">
        <v>9.4</v>
      </c>
      <c r="P22" s="8">
        <v>10.3</v>
      </c>
      <c r="Q22" s="8">
        <v>10.3</v>
      </c>
      <c r="R22" s="4" t="s">
        <v>149</v>
      </c>
      <c r="S22" s="8">
        <v>5.2</v>
      </c>
      <c r="T22" s="5">
        <v>45979.708182870374</v>
      </c>
      <c r="U22" s="5">
        <v>45979.708310185182</v>
      </c>
      <c r="V22" s="6">
        <v>1.2731482274830341E-4</v>
      </c>
    </row>
    <row r="23" spans="1:22" hidden="1" x14ac:dyDescent="0.3">
      <c r="B23" s="1" t="s">
        <v>34</v>
      </c>
      <c r="G23" s="10">
        <f t="shared" ref="G23:S23" si="0">AVERAGE(G4:G22)</f>
        <v>13.631578947368421</v>
      </c>
      <c r="H23" s="10">
        <f t="shared" si="0"/>
        <v>7.1105263157894738</v>
      </c>
      <c r="I23" s="10">
        <f t="shared" si="0"/>
        <v>1.6947368421052633</v>
      </c>
      <c r="J23" s="10">
        <f t="shared" si="0"/>
        <v>3.5263157894736841</v>
      </c>
      <c r="K23" s="10">
        <f t="shared" si="0"/>
        <v>1.1368421052631581</v>
      </c>
      <c r="L23" s="10">
        <f t="shared" si="0"/>
        <v>60.921052631578945</v>
      </c>
      <c r="M23" s="7">
        <f t="shared" si="0"/>
        <v>25</v>
      </c>
      <c r="N23" s="10">
        <f t="shared" si="0"/>
        <v>11.378947368421054</v>
      </c>
      <c r="O23" s="10">
        <f t="shared" si="0"/>
        <v>11.005263157894735</v>
      </c>
      <c r="P23" s="10">
        <f t="shared" si="0"/>
        <v>10.381818181818183</v>
      </c>
      <c r="Q23" s="10">
        <f t="shared" si="0"/>
        <v>11.247368421052633</v>
      </c>
      <c r="R23" s="10" t="e">
        <f t="shared" si="0"/>
        <v>#DIV/0!</v>
      </c>
      <c r="S23" s="10">
        <f t="shared" si="0"/>
        <v>5.6263157894736846</v>
      </c>
    </row>
    <row r="24" spans="1:22" hidden="1" x14ac:dyDescent="0.3">
      <c r="B24" s="1" t="s">
        <v>35</v>
      </c>
      <c r="G24" s="10">
        <f t="shared" ref="G24:S24" si="1">MIN(G4:G22)</f>
        <v>13.4</v>
      </c>
      <c r="H24" s="10">
        <f t="shared" si="1"/>
        <v>6.5</v>
      </c>
      <c r="I24" s="10">
        <f t="shared" si="1"/>
        <v>1.6</v>
      </c>
      <c r="J24" s="10">
        <f t="shared" si="1"/>
        <v>3</v>
      </c>
      <c r="K24" s="10">
        <f t="shared" si="1"/>
        <v>0.9</v>
      </c>
      <c r="L24" s="10">
        <f t="shared" si="1"/>
        <v>57.9</v>
      </c>
      <c r="M24" s="7">
        <f t="shared" si="1"/>
        <v>25</v>
      </c>
      <c r="N24" s="10">
        <f t="shared" si="1"/>
        <v>7.3</v>
      </c>
      <c r="O24" s="10">
        <f t="shared" si="1"/>
        <v>8.1999999999999993</v>
      </c>
      <c r="P24" s="10">
        <f t="shared" si="1"/>
        <v>7.6</v>
      </c>
      <c r="Q24" s="10">
        <f t="shared" si="1"/>
        <v>6.3</v>
      </c>
      <c r="R24" s="10">
        <f t="shared" si="1"/>
        <v>0</v>
      </c>
      <c r="S24" s="10">
        <f t="shared" si="1"/>
        <v>3.8</v>
      </c>
    </row>
    <row r="25" spans="1:22" hidden="1" x14ac:dyDescent="0.3">
      <c r="B25" s="1" t="s">
        <v>36</v>
      </c>
      <c r="G25" s="10">
        <f t="shared" ref="G25:S25" si="2">MAX(G4:G22)</f>
        <v>13.9</v>
      </c>
      <c r="H25" s="10">
        <f t="shared" si="2"/>
        <v>7.6</v>
      </c>
      <c r="I25" s="10">
        <f t="shared" si="2"/>
        <v>1.8</v>
      </c>
      <c r="J25" s="10">
        <f t="shared" si="2"/>
        <v>4.0999999999999996</v>
      </c>
      <c r="K25" s="10">
        <f t="shared" si="2"/>
        <v>1.4</v>
      </c>
      <c r="L25" s="10">
        <f t="shared" si="2"/>
        <v>63.7</v>
      </c>
      <c r="M25" s="7">
        <f t="shared" si="2"/>
        <v>25</v>
      </c>
      <c r="N25" s="10">
        <f t="shared" si="2"/>
        <v>14.8</v>
      </c>
      <c r="O25" s="10">
        <f t="shared" si="2"/>
        <v>14.8</v>
      </c>
      <c r="P25" s="10">
        <f t="shared" si="2"/>
        <v>12.4</v>
      </c>
      <c r="Q25" s="10">
        <f t="shared" si="2"/>
        <v>15.5</v>
      </c>
      <c r="R25" s="10">
        <f t="shared" si="2"/>
        <v>0</v>
      </c>
      <c r="S25" s="10">
        <f t="shared" si="2"/>
        <v>8.6999999999999993</v>
      </c>
    </row>
    <row r="26" spans="1:22" hidden="1" x14ac:dyDescent="0.3">
      <c r="B26" s="1" t="s">
        <v>37</v>
      </c>
      <c r="G26" s="10">
        <f t="shared" ref="G26:S26" si="3">STDEV(G4:G22)</f>
        <v>0.12932573679987464</v>
      </c>
      <c r="H26" s="10">
        <f t="shared" si="3"/>
        <v>0.29229881370136973</v>
      </c>
      <c r="I26" s="10">
        <f t="shared" si="3"/>
        <v>7.7986353582080226E-2</v>
      </c>
      <c r="J26" s="10">
        <f t="shared" si="3"/>
        <v>0.30155542196190044</v>
      </c>
      <c r="K26" s="10">
        <f t="shared" si="3"/>
        <v>0.14224597754824089</v>
      </c>
      <c r="L26" s="10">
        <f t="shared" si="3"/>
        <v>1.5164208399196746</v>
      </c>
      <c r="M26" s="7">
        <f t="shared" si="3"/>
        <v>0</v>
      </c>
      <c r="N26" s="10">
        <f t="shared" si="3"/>
        <v>1.6413337893881035</v>
      </c>
      <c r="O26" s="10">
        <f t="shared" si="3"/>
        <v>1.6949184458291109</v>
      </c>
      <c r="P26" s="10">
        <f t="shared" si="3"/>
        <v>1.5078582040882831</v>
      </c>
      <c r="Q26" s="10">
        <f t="shared" si="3"/>
        <v>2.8139273506085649</v>
      </c>
      <c r="R26" s="10" t="e">
        <f t="shared" si="3"/>
        <v>#DIV/0!</v>
      </c>
      <c r="S26" s="10">
        <f t="shared" si="3"/>
        <v>1.2498187003024595</v>
      </c>
    </row>
    <row r="28" spans="1:22" x14ac:dyDescent="0.3">
      <c r="B28" s="1" t="s">
        <v>38</v>
      </c>
      <c r="G28" s="10" t="s">
        <v>39</v>
      </c>
      <c r="H28" s="10" t="s">
        <v>39</v>
      </c>
      <c r="I28" s="10" t="s">
        <v>39</v>
      </c>
      <c r="J28" s="10" t="s">
        <v>39</v>
      </c>
      <c r="K28" s="10" t="s">
        <v>39</v>
      </c>
      <c r="L28" s="10" t="s">
        <v>39</v>
      </c>
      <c r="M28" s="7" t="s">
        <v>39</v>
      </c>
      <c r="N28" s="10" t="s">
        <v>39</v>
      </c>
      <c r="O28" s="10" t="s">
        <v>39</v>
      </c>
      <c r="P28" s="10" t="s">
        <v>39</v>
      </c>
      <c r="Q28" s="10" t="s">
        <v>39</v>
      </c>
      <c r="R28" s="10" t="s">
        <v>39</v>
      </c>
      <c r="S28" s="10" t="s">
        <v>39</v>
      </c>
    </row>
  </sheetData>
  <autoFilter ref="A3:V26" xr:uid="{B4E5FED8-2668-44C8-A913-BFAC0E056CE2}">
    <filterColumn colId="4">
      <filters>
        <filter val="L1 APM - LB"/>
        <filter val="L2 APM - L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Espectros</vt:lpstr>
      <vt:lpstr>Maiz</vt:lpstr>
      <vt:lpstr>Soja</vt:lpstr>
      <vt:lpstr>Colza</vt:lpstr>
      <vt:lpstr>Cerdos</vt:lpstr>
      <vt:lpstr>TrigoTriti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PROXIMATE</dc:creator>
  <cp:lastModifiedBy>Pairó Miquel</cp:lastModifiedBy>
  <dcterms:created xsi:type="dcterms:W3CDTF">2025-11-18T17:02:10Z</dcterms:created>
  <dcterms:modified xsi:type="dcterms:W3CDTF">2025-11-18T18:11:07Z</dcterms:modified>
</cp:coreProperties>
</file>