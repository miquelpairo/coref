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hicosmos-my.sharepoint.com/personal/pairo_m_buchi_com/Documents/Desktop/BUNGE/Demo sensor/316FG103_Pruebas ajuste con LB_27112025/"/>
    </mc:Choice>
  </mc:AlternateContent>
  <xr:revisionPtr revIDLastSave="0" documentId="8_{86CCED60-B0CF-436E-B347-FD87C166891F}" xr6:coauthVersionLast="47" xr6:coauthVersionMax="47" xr10:uidLastSave="{00000000-0000-0000-0000-000000000000}"/>
  <bookViews>
    <workbookView xWindow="-108" yWindow="-108" windowWidth="23256" windowHeight="12456" activeTab="5" xr2:uid="{3755B494-71C5-40DA-B874-C68E26447AB5}"/>
  </bookViews>
  <sheets>
    <sheet name="Espectros" sheetId="1" r:id="rId1"/>
    <sheet name="Colza" sheetId="2" r:id="rId2"/>
    <sheet name="TrigoTriti" sheetId="3" r:id="rId3"/>
    <sheet name="Maiz" sheetId="4" r:id="rId4"/>
    <sheet name="Soja" sheetId="5" r:id="rId5"/>
    <sheet name="Cerdos" sheetId="6" r:id="rId6"/>
  </sheets>
  <definedNames>
    <definedName name="_xlnm._FilterDatabase" localSheetId="5" hidden="1">Cerdos!$A$3:$Z$16</definedName>
    <definedName name="_xlnm._FilterDatabase" localSheetId="1" hidden="1">Colza!$A$3:$V$16</definedName>
    <definedName name="_xlnm._FilterDatabase" localSheetId="3" hidden="1">Maiz!$A$3:$X$16</definedName>
    <definedName name="_xlnm._FilterDatabase" localSheetId="4" hidden="1">Soja!$A$3:$T$17</definedName>
    <definedName name="_xlnm._FilterDatabase" localSheetId="2" hidden="1">TrigoTriti!$A$3:$V$16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6" l="1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Q17" i="5"/>
  <c r="P17" i="5"/>
  <c r="O17" i="5"/>
  <c r="N17" i="5"/>
  <c r="M17" i="5"/>
  <c r="L17" i="5"/>
  <c r="K17" i="5"/>
  <c r="J17" i="5"/>
  <c r="I17" i="5"/>
  <c r="H17" i="5"/>
  <c r="G17" i="5"/>
  <c r="Q16" i="5"/>
  <c r="P16" i="5"/>
  <c r="O16" i="5"/>
  <c r="N16" i="5"/>
  <c r="M16" i="5"/>
  <c r="L16" i="5"/>
  <c r="K16" i="5"/>
  <c r="J16" i="5"/>
  <c r="I16" i="5"/>
  <c r="H16" i="5"/>
  <c r="G16" i="5"/>
  <c r="Q15" i="5"/>
  <c r="P15" i="5"/>
  <c r="O15" i="5"/>
  <c r="N15" i="5"/>
  <c r="M15" i="5"/>
  <c r="L15" i="5"/>
  <c r="K15" i="5"/>
  <c r="J15" i="5"/>
  <c r="I15" i="5"/>
  <c r="H15" i="5"/>
  <c r="G15" i="5"/>
  <c r="Q14" i="5"/>
  <c r="P14" i="5"/>
  <c r="O14" i="5"/>
  <c r="N14" i="5"/>
  <c r="M14" i="5"/>
  <c r="L14" i="5"/>
  <c r="K14" i="5"/>
  <c r="J14" i="5"/>
  <c r="I14" i="5"/>
  <c r="H14" i="5"/>
  <c r="G14" i="5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H34" i="1"/>
  <c r="G34" i="1"/>
  <c r="H33" i="1"/>
  <c r="G33" i="1"/>
  <c r="H32" i="1"/>
  <c r="G32" i="1"/>
  <c r="H31" i="1"/>
  <c r="G31" i="1"/>
</calcChain>
</file>

<file path=xl/sharedStrings.xml><?xml version="1.0" encoding="utf-8"?>
<sst xmlns="http://schemas.openxmlformats.org/spreadsheetml/2006/main" count="638" uniqueCount="137">
  <si>
    <t>27/11/2025 ... 27/11/2025 23:59:59</t>
  </si>
  <si>
    <t>#</t>
  </si>
  <si>
    <t>Espectros</t>
  </si>
  <si>
    <t>Unit</t>
  </si>
  <si>
    <t>ID</t>
  </si>
  <si>
    <t>Note</t>
  </si>
  <si>
    <t>Product</t>
  </si>
  <si>
    <t>Speed</t>
  </si>
  <si>
    <t>Espectro</t>
  </si>
  <si>
    <t>Begin</t>
  </si>
  <si>
    <t>End</t>
  </si>
  <si>
    <t>Length</t>
  </si>
  <si>
    <t>#2025-11-27 10:14:11 316FG103</t>
  </si>
  <si>
    <t>316FG103</t>
  </si>
  <si>
    <t>WHITE</t>
  </si>
  <si>
    <t>L1.2 NB</t>
  </si>
  <si>
    <t>-.---</t>
  </si>
  <si>
    <t>#2025-11-27 10:14:38 316FG103</t>
  </si>
  <si>
    <t>#2025-11-27 10:15:17 316FG103</t>
  </si>
  <si>
    <t>V01</t>
  </si>
  <si>
    <t>#2025-11-27 10:15:39 316FG103</t>
  </si>
  <si>
    <t>V02</t>
  </si>
  <si>
    <t>#2025-11-27 10:16:04 316FG103</t>
  </si>
  <si>
    <t>V03</t>
  </si>
  <si>
    <t>#2025-11-27 10:16:38 316FG103</t>
  </si>
  <si>
    <t>V04</t>
  </si>
  <si>
    <t>#2025-11-27 10:17:03 316FG103</t>
  </si>
  <si>
    <t>V05</t>
  </si>
  <si>
    <t>#2025-11-27 16:13:21 316FG103</t>
  </si>
  <si>
    <t>L2.2 LB</t>
  </si>
  <si>
    <t>#2025-11-27 16:15:08 316FG103</t>
  </si>
  <si>
    <t>#2025-11-27 16:16:07 316FG103</t>
  </si>
  <si>
    <t>#2025-11-27 16:17:25 316FG103</t>
  </si>
  <si>
    <t>L1.2 LB</t>
  </si>
  <si>
    <t>#2025-11-27 16:17:51 316FG103</t>
  </si>
  <si>
    <t>#2025-11-27 16:18:29 316FG103</t>
  </si>
  <si>
    <t>#2025-11-27 16:20:18 316FG103</t>
  </si>
  <si>
    <t>#2025-11-27 16:20:49 316FG103</t>
  </si>
  <si>
    <t>#2025-11-27 16:21:17 316FG103</t>
  </si>
  <si>
    <t>#2025-11-27 16:21:48 316FG103</t>
  </si>
  <si>
    <t>#2025-11-27 16:22:17 316FG103</t>
  </si>
  <si>
    <t>#2025-11-27 16:29:34 316FG103</t>
  </si>
  <si>
    <t>#2025-11-27 16:30:00 316FG103</t>
  </si>
  <si>
    <t>#2025-11-27 16:30:39 316FG103</t>
  </si>
  <si>
    <t>#2025-11-27 16:31:23 316FG103</t>
  </si>
  <si>
    <t>#2025-11-27 16:31:47 316FG103</t>
  </si>
  <si>
    <t>#2025-11-27 16:32:13 316FG103</t>
  </si>
  <si>
    <t>#2025-11-27 16:32:40 316FG103</t>
  </si>
  <si>
    <t>#2025-11-27 16:56:21 316FG103</t>
  </si>
  <si>
    <t>#2025-11-27 16:56:53 316FG103</t>
  </si>
  <si>
    <t>Average</t>
  </si>
  <si>
    <t>Min</t>
  </si>
  <si>
    <t>Max</t>
  </si>
  <si>
    <t>Std.Dev.</t>
  </si>
  <si>
    <t>Target</t>
  </si>
  <si>
    <t>0</t>
  </si>
  <si>
    <t>Colza</t>
  </si>
  <si>
    <t>H</t>
  </si>
  <si>
    <t>PB</t>
  </si>
  <si>
    <t>GB</t>
  </si>
  <si>
    <t>Grasa total</t>
  </si>
  <si>
    <t>FB</t>
  </si>
  <si>
    <t>Cz</t>
  </si>
  <si>
    <t>MahalanobisH</t>
  </si>
  <si>
    <t>MahalanobisPB</t>
  </si>
  <si>
    <t>MahalanobisGB</t>
  </si>
  <si>
    <t>MahalanobisGT</t>
  </si>
  <si>
    <t>MahalanobisFB</t>
  </si>
  <si>
    <t>MahalanobisCz</t>
  </si>
  <si>
    <t>#2025-11-27 10:23:00 316FG103</t>
  </si>
  <si>
    <t>COLZA</t>
  </si>
  <si>
    <t>#2025-11-27 10:23:36 316FG103</t>
  </si>
  <si>
    <t>#2025-11-27 10:23:59 316FG103</t>
  </si>
  <si>
    <t>#2025-11-27 16:49:44 316FG103</t>
  </si>
  <si>
    <t>#2025-11-27 16:50:15 316FG103</t>
  </si>
  <si>
    <t>#2025-11-27 16:50:42 316FG103</t>
  </si>
  <si>
    <t>#2025-11-27 16:57:28 316FG103</t>
  </si>
  <si>
    <t>#2025-11-27 16:57:59 316FG103</t>
  </si>
  <si>
    <t>#2025-11-27 16:58:23 316FG103</t>
  </si>
  <si>
    <t>TrigoTriti</t>
  </si>
  <si>
    <t>ALM</t>
  </si>
  <si>
    <t>MahalanobisGrasa</t>
  </si>
  <si>
    <t>MahalanobisALM</t>
  </si>
  <si>
    <t>#2025-11-27 10:24:22 316FG103</t>
  </si>
  <si>
    <t>TRIGO</t>
  </si>
  <si>
    <t>&gt;11.5</t>
  </si>
  <si>
    <t>#2025-11-27 10:24:46 316FG103</t>
  </si>
  <si>
    <t>#2025-11-27 10:25:10 316FG103</t>
  </si>
  <si>
    <t>#2025-11-27 16:46:19 316FG103</t>
  </si>
  <si>
    <t>#2025-11-27 16:47:34 316FG103</t>
  </si>
  <si>
    <t>#2025-11-27 16:48:00 316FG103</t>
  </si>
  <si>
    <t>#2025-11-27 17:00:07 316FG103</t>
  </si>
  <si>
    <t>#2025-11-27 17:00:39 316FG103</t>
  </si>
  <si>
    <t>#2025-11-27 17:01:07 316FG103</t>
  </si>
  <si>
    <t>Maiz</t>
  </si>
  <si>
    <t>Aw</t>
  </si>
  <si>
    <t>MahalanobisAw</t>
  </si>
  <si>
    <t>#2025-11-27 10:25:36 316FG103</t>
  </si>
  <si>
    <t>MAIZ</t>
  </si>
  <si>
    <t>&gt;20.0</t>
  </si>
  <si>
    <t>#2025-11-27 10:26:01 316FG103</t>
  </si>
  <si>
    <t>#2025-11-27 10:26:25 316FG103</t>
  </si>
  <si>
    <t>#2025-11-27 16:48:24 316FG103</t>
  </si>
  <si>
    <t>#2025-11-27 16:48:50 316FG103</t>
  </si>
  <si>
    <t>#2025-11-27 16:49:14 316FG103</t>
  </si>
  <si>
    <t>#2025-11-27 16:58:56 316FG103</t>
  </si>
  <si>
    <t>#2025-11-27 16:59:20 316FG103</t>
  </si>
  <si>
    <t>#2025-11-27 16:59:45 316FG103</t>
  </si>
  <si>
    <t>Soja</t>
  </si>
  <si>
    <t>Grasa bruta</t>
  </si>
  <si>
    <t>#2025-11-27 10:27:03 316FG103</t>
  </si>
  <si>
    <t>SOJA</t>
  </si>
  <si>
    <t>&gt;90.0</t>
  </si>
  <si>
    <t>#2025-11-27 10:27:30 316FG103</t>
  </si>
  <si>
    <t>#2025-11-27 10:27:56 316FG103</t>
  </si>
  <si>
    <t>#2025-11-27 16:44:12 316FG103</t>
  </si>
  <si>
    <t>#2025-11-27 16:44:44 316FG103</t>
  </si>
  <si>
    <t>#2025-11-27 16:45:12 316FG103</t>
  </si>
  <si>
    <t>#2025-11-27 16:45:44 316FG103</t>
  </si>
  <si>
    <t>#2025-11-27 17:01:39 316FG103</t>
  </si>
  <si>
    <t>#2025-11-27 17:02:10 316FG103</t>
  </si>
  <si>
    <t>#2025-11-27 17:02:39 316FG103</t>
  </si>
  <si>
    <t>Cerdos</t>
  </si>
  <si>
    <t>Fosforo</t>
  </si>
  <si>
    <t>Calcio</t>
  </si>
  <si>
    <t>MahalanobisP</t>
  </si>
  <si>
    <t>MahalanobisCa</t>
  </si>
  <si>
    <t>#2025-11-27 10:28:30 316FG103</t>
  </si>
  <si>
    <t>PIENSO</t>
  </si>
  <si>
    <t>#2025-11-27 10:29:03 316FG103</t>
  </si>
  <si>
    <t>#2025-11-27 10:29:28 316FG103</t>
  </si>
  <si>
    <t>#2025-11-27 16:42:50 316FG103</t>
  </si>
  <si>
    <t>#2025-11-27 16:43:23 316FG103</t>
  </si>
  <si>
    <t>#2025-11-27 16:43:51 316FG103</t>
  </si>
  <si>
    <t>#2025-11-27 17:03:09 316FG103</t>
  </si>
  <si>
    <t>#2025-11-27 17:03:41 316FG103</t>
  </si>
  <si>
    <t>#2025-11-27 17:04:22 316FG103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</si>
</sst>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dd/mm/yyyy\ hh:mm:ss"/>
    <numFmt numFmtId="169" formatCode="hh:mm:ss"/>
    <numFmt numFmtId="170" formatCode="0.000"/>
    <numFmt numFmtId="171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</font>
    <font>
      <b/>
      <sz val="10"/>
      <name val="Arial"/>
    </font>
    <font>
      <b/>
      <i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/>
    <xf numFmtId="0" fontId="19" fillId="0" borderId="10" xfId="0" applyNumberFormat="1" applyFont="1" applyFill="1" applyBorder="1" applyAlignment="1" applyProtection="1">
      <alignment horizontal="center"/>
    </xf>
    <xf numFmtId="170" fontId="0" fillId="0" borderId="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>
      <alignment horizontal="center"/>
    </xf>
    <xf numFmtId="168" fontId="0" fillId="0" borderId="0" xfId="0" applyNumberFormat="1" applyFont="1" applyFill="1" applyBorder="1" applyAlignment="1" applyProtection="1"/>
    <xf numFmtId="169" fontId="0" fillId="0" borderId="0" xfId="0" applyNumberFormat="1" applyFont="1" applyFill="1" applyBorder="1" applyAlignment="1" applyProtection="1"/>
    <xf numFmtId="170" fontId="18" fillId="0" borderId="11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  <xf numFmtId="171" fontId="18" fillId="0" borderId="11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2" fontId="18" fillId="0" borderId="11" xfId="0" applyNumberFormat="1" applyFont="1" applyFill="1" applyBorder="1" applyAlignment="1" applyProtecti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3559-0984-4102-BCB0-B98870B827F5}">
  <dimension ref="A1:K36"/>
  <sheetViews>
    <sheetView workbookViewId="0"/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11.33203125" customWidth="1"/>
    <col min="4" max="4" width="14.77734375" bestFit="1" customWidth="1"/>
    <col min="7" max="8" width="11.6640625" bestFit="1" customWidth="1"/>
    <col min="9" max="10" width="17.88671875" bestFit="1" customWidth="1"/>
    <col min="11" max="11" width="11.6640625" bestFit="1" customWidth="1"/>
  </cols>
  <sheetData>
    <row r="1" spans="1:11" s="1" customFormat="1" ht="13.8" x14ac:dyDescent="0.25">
      <c r="A1" s="1" t="s">
        <v>0</v>
      </c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3">
      <c r="A4" s="2">
        <v>1</v>
      </c>
      <c r="B4" t="s">
        <v>12</v>
      </c>
      <c r="C4" t="s">
        <v>13</v>
      </c>
      <c r="D4" t="s">
        <v>14</v>
      </c>
      <c r="E4" t="s">
        <v>15</v>
      </c>
      <c r="F4" t="s">
        <v>2</v>
      </c>
      <c r="G4" s="3">
        <v>25</v>
      </c>
      <c r="H4" s="4" t="s">
        <v>16</v>
      </c>
      <c r="I4" s="5">
        <v>45988.426516203705</v>
      </c>
      <c r="J4" s="5">
        <v>45988.426678240743</v>
      </c>
      <c r="K4" s="6">
        <v>1.6203703125938773E-4</v>
      </c>
    </row>
    <row r="5" spans="1:11" x14ac:dyDescent="0.3">
      <c r="A5" s="2">
        <v>2</v>
      </c>
      <c r="B5" t="s">
        <v>17</v>
      </c>
      <c r="C5" t="s">
        <v>13</v>
      </c>
      <c r="D5" t="s">
        <v>14</v>
      </c>
      <c r="E5" t="s">
        <v>15</v>
      </c>
      <c r="F5" t="s">
        <v>2</v>
      </c>
      <c r="G5" s="3">
        <v>25</v>
      </c>
      <c r="H5" s="4" t="s">
        <v>16</v>
      </c>
      <c r="I5" s="5">
        <v>45988.426828703705</v>
      </c>
      <c r="J5" s="5">
        <v>45988.426990740743</v>
      </c>
      <c r="K5" s="6">
        <v>1.6203703125938773E-4</v>
      </c>
    </row>
    <row r="6" spans="1:11" x14ac:dyDescent="0.3">
      <c r="A6" s="2">
        <v>3</v>
      </c>
      <c r="B6" t="s">
        <v>18</v>
      </c>
      <c r="C6" t="s">
        <v>13</v>
      </c>
      <c r="D6" t="s">
        <v>19</v>
      </c>
      <c r="E6" t="s">
        <v>15</v>
      </c>
      <c r="F6" t="s">
        <v>2</v>
      </c>
      <c r="G6" s="3">
        <v>25</v>
      </c>
      <c r="H6" s="4" t="s">
        <v>16</v>
      </c>
      <c r="I6" s="5">
        <v>45988.42728009259</v>
      </c>
      <c r="J6" s="5">
        <v>45988.427395833336</v>
      </c>
      <c r="K6" s="6">
        <v>1.1574075324460864E-4</v>
      </c>
    </row>
    <row r="7" spans="1:11" x14ac:dyDescent="0.3">
      <c r="A7" s="2">
        <v>4</v>
      </c>
      <c r="B7" t="s">
        <v>20</v>
      </c>
      <c r="C7" t="s">
        <v>13</v>
      </c>
      <c r="D7" t="s">
        <v>21</v>
      </c>
      <c r="E7" t="s">
        <v>15</v>
      </c>
      <c r="F7" t="s">
        <v>2</v>
      </c>
      <c r="G7" s="3">
        <v>25</v>
      </c>
      <c r="H7" s="4" t="s">
        <v>16</v>
      </c>
      <c r="I7" s="5">
        <v>45988.427534722221</v>
      </c>
      <c r="J7" s="5">
        <v>45988.42769675926</v>
      </c>
      <c r="K7" s="6">
        <v>1.6203703125938773E-4</v>
      </c>
    </row>
    <row r="8" spans="1:11" x14ac:dyDescent="0.3">
      <c r="A8" s="2">
        <v>5</v>
      </c>
      <c r="B8" t="s">
        <v>22</v>
      </c>
      <c r="C8" t="s">
        <v>13</v>
      </c>
      <c r="D8" t="s">
        <v>23</v>
      </c>
      <c r="E8" t="s">
        <v>15</v>
      </c>
      <c r="F8" t="s">
        <v>2</v>
      </c>
      <c r="G8" s="3">
        <v>25</v>
      </c>
      <c r="H8" s="4" t="s">
        <v>16</v>
      </c>
      <c r="I8" s="5">
        <v>45988.427824074075</v>
      </c>
      <c r="J8" s="5">
        <v>45988.428067129629</v>
      </c>
      <c r="K8" s="6">
        <v>2.430555468890816E-4</v>
      </c>
    </row>
    <row r="9" spans="1:11" x14ac:dyDescent="0.3">
      <c r="A9" s="2">
        <v>6</v>
      </c>
      <c r="B9" t="s">
        <v>24</v>
      </c>
      <c r="C9" t="s">
        <v>13</v>
      </c>
      <c r="D9" t="s">
        <v>25</v>
      </c>
      <c r="E9" t="s">
        <v>15</v>
      </c>
      <c r="F9" t="s">
        <v>2</v>
      </c>
      <c r="G9" s="3">
        <v>25</v>
      </c>
      <c r="H9" s="4" t="s">
        <v>16</v>
      </c>
      <c r="I9" s="5">
        <v>45988.428217592591</v>
      </c>
      <c r="J9" s="5">
        <v>45988.428368055553</v>
      </c>
      <c r="K9" s="6">
        <v>1.6203703125938773E-4</v>
      </c>
    </row>
    <row r="10" spans="1:11" x14ac:dyDescent="0.3">
      <c r="A10" s="2">
        <v>7</v>
      </c>
      <c r="B10" t="s">
        <v>26</v>
      </c>
      <c r="C10" t="s">
        <v>13</v>
      </c>
      <c r="D10" t="s">
        <v>27</v>
      </c>
      <c r="E10" t="s">
        <v>15</v>
      </c>
      <c r="F10" t="s">
        <v>2</v>
      </c>
      <c r="G10" s="3">
        <v>25</v>
      </c>
      <c r="H10" s="4" t="s">
        <v>16</v>
      </c>
      <c r="I10" s="5">
        <v>45988.428506944445</v>
      </c>
      <c r="J10" s="5">
        <v>45988.428703703707</v>
      </c>
      <c r="K10" s="6">
        <v>1.9675926887430251E-4</v>
      </c>
    </row>
    <row r="11" spans="1:11" x14ac:dyDescent="0.3">
      <c r="A11" s="2">
        <v>8</v>
      </c>
      <c r="B11" t="s">
        <v>28</v>
      </c>
      <c r="C11" t="s">
        <v>13</v>
      </c>
      <c r="D11" t="s">
        <v>14</v>
      </c>
      <c r="E11" t="s">
        <v>29</v>
      </c>
      <c r="F11" t="s">
        <v>2</v>
      </c>
      <c r="G11" s="3">
        <v>25</v>
      </c>
      <c r="H11" s="4" t="s">
        <v>16</v>
      </c>
      <c r="I11" s="5">
        <v>45988.675937499997</v>
      </c>
      <c r="J11" s="5">
        <v>45988.677002314813</v>
      </c>
      <c r="K11" s="6">
        <v>1.0648148017935455E-3</v>
      </c>
    </row>
    <row r="12" spans="1:11" x14ac:dyDescent="0.3">
      <c r="A12" s="2">
        <v>9</v>
      </c>
      <c r="B12" t="s">
        <v>30</v>
      </c>
      <c r="C12" t="s">
        <v>13</v>
      </c>
      <c r="D12" t="s">
        <v>14</v>
      </c>
      <c r="E12" t="s">
        <v>29</v>
      </c>
      <c r="F12" t="s">
        <v>2</v>
      </c>
      <c r="G12" s="3">
        <v>25</v>
      </c>
      <c r="H12" s="4" t="s">
        <v>16</v>
      </c>
      <c r="I12" s="5">
        <v>45988.677175925928</v>
      </c>
      <c r="J12" s="5">
        <v>45988.677372685182</v>
      </c>
      <c r="K12" s="6">
        <v>1.9675926887430251E-4</v>
      </c>
    </row>
    <row r="13" spans="1:11" x14ac:dyDescent="0.3">
      <c r="A13" s="2">
        <v>10</v>
      </c>
      <c r="B13" t="s">
        <v>31</v>
      </c>
      <c r="C13" t="s">
        <v>13</v>
      </c>
      <c r="D13" t="s">
        <v>14</v>
      </c>
      <c r="E13" t="s">
        <v>29</v>
      </c>
      <c r="F13" t="s">
        <v>2</v>
      </c>
      <c r="G13" s="3">
        <v>25</v>
      </c>
      <c r="H13" s="4" t="s">
        <v>16</v>
      </c>
      <c r="I13" s="5">
        <v>45988.677858796298</v>
      </c>
      <c r="J13" s="5">
        <v>45988.678020833337</v>
      </c>
      <c r="K13" s="6">
        <v>1.6203703125938773E-4</v>
      </c>
    </row>
    <row r="14" spans="1:11" x14ac:dyDescent="0.3">
      <c r="A14" s="2">
        <v>11</v>
      </c>
      <c r="B14" t="s">
        <v>32</v>
      </c>
      <c r="C14" t="s">
        <v>13</v>
      </c>
      <c r="D14" t="s">
        <v>14</v>
      </c>
      <c r="E14" t="s">
        <v>33</v>
      </c>
      <c r="F14" t="s">
        <v>2</v>
      </c>
      <c r="G14" s="3">
        <v>25</v>
      </c>
      <c r="H14" s="4" t="s">
        <v>16</v>
      </c>
      <c r="I14" s="5">
        <v>45988.678761574076</v>
      </c>
      <c r="J14" s="5">
        <v>45988.678923611114</v>
      </c>
      <c r="K14" s="6">
        <v>1.6203703125938773E-4</v>
      </c>
    </row>
    <row r="15" spans="1:11" x14ac:dyDescent="0.3">
      <c r="A15" s="2">
        <v>12</v>
      </c>
      <c r="B15" t="s">
        <v>34</v>
      </c>
      <c r="C15" t="s">
        <v>13</v>
      </c>
      <c r="D15" t="s">
        <v>14</v>
      </c>
      <c r="E15" t="s">
        <v>33</v>
      </c>
      <c r="F15" t="s">
        <v>2</v>
      </c>
      <c r="G15" s="3">
        <v>25</v>
      </c>
      <c r="H15" s="4" t="s">
        <v>16</v>
      </c>
      <c r="I15" s="5">
        <v>45988.679062499999</v>
      </c>
      <c r="J15" s="5">
        <v>45988.679340277777</v>
      </c>
      <c r="K15" s="6">
        <v>2.7777778450399637E-4</v>
      </c>
    </row>
    <row r="16" spans="1:11" x14ac:dyDescent="0.3">
      <c r="A16" s="2">
        <v>13</v>
      </c>
      <c r="B16" t="s">
        <v>35</v>
      </c>
      <c r="C16" t="s">
        <v>13</v>
      </c>
      <c r="D16" t="s">
        <v>14</v>
      </c>
      <c r="E16" t="s">
        <v>33</v>
      </c>
      <c r="F16" t="s">
        <v>2</v>
      </c>
      <c r="G16" s="3">
        <v>25</v>
      </c>
      <c r="H16" s="4" t="s">
        <v>16</v>
      </c>
      <c r="I16" s="5">
        <v>45988.679502314815</v>
      </c>
      <c r="J16" s="5">
        <v>45988.679699074077</v>
      </c>
      <c r="K16" s="6">
        <v>1.9675926887430251E-4</v>
      </c>
    </row>
    <row r="17" spans="1:11" x14ac:dyDescent="0.3">
      <c r="A17" s="2">
        <v>14</v>
      </c>
      <c r="B17" t="s">
        <v>36</v>
      </c>
      <c r="C17" t="s">
        <v>13</v>
      </c>
      <c r="D17" t="s">
        <v>19</v>
      </c>
      <c r="E17" t="s">
        <v>33</v>
      </c>
      <c r="F17" t="s">
        <v>2</v>
      </c>
      <c r="G17" s="3">
        <v>25</v>
      </c>
      <c r="H17" s="4" t="s">
        <v>16</v>
      </c>
      <c r="I17" s="5">
        <v>45988.680763888886</v>
      </c>
      <c r="J17" s="5">
        <v>45988.680925925924</v>
      </c>
      <c r="K17" s="6">
        <v>1.6203703125938773E-4</v>
      </c>
    </row>
    <row r="18" spans="1:11" x14ac:dyDescent="0.3">
      <c r="A18" s="2">
        <v>15</v>
      </c>
      <c r="B18" t="s">
        <v>37</v>
      </c>
      <c r="C18" t="s">
        <v>13</v>
      </c>
      <c r="D18" t="s">
        <v>21</v>
      </c>
      <c r="E18" t="s">
        <v>33</v>
      </c>
      <c r="F18" t="s">
        <v>2</v>
      </c>
      <c r="G18" s="3">
        <v>25</v>
      </c>
      <c r="H18" s="4" t="s">
        <v>16</v>
      </c>
      <c r="I18" s="5">
        <v>45988.681122685186</v>
      </c>
      <c r="J18" s="5">
        <v>45988.681284722225</v>
      </c>
      <c r="K18" s="6">
        <v>1.6203703125938773E-4</v>
      </c>
    </row>
    <row r="19" spans="1:11" x14ac:dyDescent="0.3">
      <c r="A19" s="2">
        <v>16</v>
      </c>
      <c r="B19" t="s">
        <v>38</v>
      </c>
      <c r="C19" t="s">
        <v>13</v>
      </c>
      <c r="D19" t="s">
        <v>23</v>
      </c>
      <c r="E19" t="s">
        <v>33</v>
      </c>
      <c r="F19" t="s">
        <v>2</v>
      </c>
      <c r="G19" s="3">
        <v>25</v>
      </c>
      <c r="H19" s="4" t="s">
        <v>16</v>
      </c>
      <c r="I19" s="5">
        <v>45988.681446759256</v>
      </c>
      <c r="J19" s="5">
        <v>45988.681643518517</v>
      </c>
      <c r="K19" s="6">
        <v>2.0833333837799728E-4</v>
      </c>
    </row>
    <row r="20" spans="1:11" x14ac:dyDescent="0.3">
      <c r="A20" s="2">
        <v>17</v>
      </c>
      <c r="B20" t="s">
        <v>39</v>
      </c>
      <c r="C20" t="s">
        <v>13</v>
      </c>
      <c r="D20" t="s">
        <v>25</v>
      </c>
      <c r="E20" t="s">
        <v>33</v>
      </c>
      <c r="F20" t="s">
        <v>2</v>
      </c>
      <c r="G20" s="3">
        <v>25</v>
      </c>
      <c r="H20" s="4" t="s">
        <v>16</v>
      </c>
      <c r="I20" s="5">
        <v>45988.681805555556</v>
      </c>
      <c r="J20" s="5">
        <v>45988.681967592594</v>
      </c>
      <c r="K20" s="6">
        <v>1.6203703125938773E-4</v>
      </c>
    </row>
    <row r="21" spans="1:11" x14ac:dyDescent="0.3">
      <c r="A21" s="2">
        <v>18</v>
      </c>
      <c r="B21" t="s">
        <v>40</v>
      </c>
      <c r="C21" t="s">
        <v>13</v>
      </c>
      <c r="D21" t="s">
        <v>27</v>
      </c>
      <c r="E21" t="s">
        <v>33</v>
      </c>
      <c r="F21" t="s">
        <v>2</v>
      </c>
      <c r="G21" s="3">
        <v>25</v>
      </c>
      <c r="H21" s="4" t="s">
        <v>16</v>
      </c>
      <c r="I21" s="5">
        <v>45988.682141203702</v>
      </c>
      <c r="J21" s="5">
        <v>45988.682337962964</v>
      </c>
      <c r="K21" s="6">
        <v>1.9675926887430251E-4</v>
      </c>
    </row>
    <row r="22" spans="1:11" x14ac:dyDescent="0.3">
      <c r="A22" s="2">
        <v>19</v>
      </c>
      <c r="B22" t="s">
        <v>41</v>
      </c>
      <c r="C22" t="s">
        <v>13</v>
      </c>
      <c r="D22" t="s">
        <v>14</v>
      </c>
      <c r="E22" t="s">
        <v>29</v>
      </c>
      <c r="F22" t="s">
        <v>2</v>
      </c>
      <c r="G22" s="3">
        <v>25</v>
      </c>
      <c r="H22" s="4" t="s">
        <v>16</v>
      </c>
      <c r="I22" s="5">
        <v>45988.687199074076</v>
      </c>
      <c r="J22" s="5">
        <v>45988.687314814815</v>
      </c>
      <c r="K22" s="6">
        <v>1.1574075324460864E-4</v>
      </c>
    </row>
    <row r="23" spans="1:11" x14ac:dyDescent="0.3">
      <c r="A23" s="2">
        <v>20</v>
      </c>
      <c r="B23" t="s">
        <v>42</v>
      </c>
      <c r="C23" t="s">
        <v>13</v>
      </c>
      <c r="D23" t="s">
        <v>14</v>
      </c>
      <c r="E23" t="s">
        <v>29</v>
      </c>
      <c r="F23" t="s">
        <v>2</v>
      </c>
      <c r="G23" s="3">
        <v>25</v>
      </c>
      <c r="H23" s="4" t="s">
        <v>16</v>
      </c>
      <c r="I23" s="5">
        <v>45988.6875</v>
      </c>
      <c r="J23" s="5">
        <v>45988.687615740739</v>
      </c>
      <c r="K23" s="6">
        <v>1.1574075324460864E-4</v>
      </c>
    </row>
    <row r="24" spans="1:11" x14ac:dyDescent="0.3">
      <c r="A24" s="2">
        <v>21</v>
      </c>
      <c r="B24" t="s">
        <v>43</v>
      </c>
      <c r="C24" t="s">
        <v>13</v>
      </c>
      <c r="D24" t="s">
        <v>19</v>
      </c>
      <c r="E24" t="s">
        <v>29</v>
      </c>
      <c r="F24" t="s">
        <v>2</v>
      </c>
      <c r="G24" s="3">
        <v>25</v>
      </c>
      <c r="H24" s="4" t="s">
        <v>16</v>
      </c>
      <c r="I24" s="5">
        <v>45988.687951388885</v>
      </c>
      <c r="J24" s="5">
        <v>45988.688310185185</v>
      </c>
      <c r="K24" s="6">
        <v>3.5879630013369024E-4</v>
      </c>
    </row>
    <row r="25" spans="1:11" x14ac:dyDescent="0.3">
      <c r="A25" s="2">
        <v>22</v>
      </c>
      <c r="B25" t="s">
        <v>44</v>
      </c>
      <c r="C25" t="s">
        <v>13</v>
      </c>
      <c r="D25" t="s">
        <v>21</v>
      </c>
      <c r="E25" t="s">
        <v>29</v>
      </c>
      <c r="F25" t="s">
        <v>2</v>
      </c>
      <c r="G25" s="3">
        <v>25</v>
      </c>
      <c r="H25" s="4" t="s">
        <v>16</v>
      </c>
      <c r="I25" s="5">
        <v>45988.688460648147</v>
      </c>
      <c r="J25" s="5">
        <v>45988.688576388886</v>
      </c>
      <c r="K25" s="6">
        <v>1.2731482274830341E-4</v>
      </c>
    </row>
    <row r="26" spans="1:11" x14ac:dyDescent="0.3">
      <c r="A26" s="2">
        <v>23</v>
      </c>
      <c r="B26" t="s">
        <v>45</v>
      </c>
      <c r="C26" t="s">
        <v>13</v>
      </c>
      <c r="D26" t="s">
        <v>23</v>
      </c>
      <c r="E26" t="s">
        <v>29</v>
      </c>
      <c r="F26" t="s">
        <v>2</v>
      </c>
      <c r="G26" s="3">
        <v>25</v>
      </c>
      <c r="H26" s="4" t="s">
        <v>16</v>
      </c>
      <c r="I26" s="5">
        <v>45988.688738425924</v>
      </c>
      <c r="J26" s="5">
        <v>45988.688888888886</v>
      </c>
      <c r="K26" s="6">
        <v>1.6203703125938773E-4</v>
      </c>
    </row>
    <row r="27" spans="1:11" x14ac:dyDescent="0.3">
      <c r="A27" s="2">
        <v>24</v>
      </c>
      <c r="B27" t="s">
        <v>46</v>
      </c>
      <c r="C27" t="s">
        <v>13</v>
      </c>
      <c r="D27" t="s">
        <v>25</v>
      </c>
      <c r="E27" t="s">
        <v>29</v>
      </c>
      <c r="F27" t="s">
        <v>2</v>
      </c>
      <c r="G27" s="3">
        <v>25</v>
      </c>
      <c r="H27" s="4" t="s">
        <v>16</v>
      </c>
      <c r="I27" s="5">
        <v>45988.689039351855</v>
      </c>
      <c r="J27" s="5">
        <v>45988.689201388886</v>
      </c>
      <c r="K27" s="6">
        <v>1.6203703125938773E-4</v>
      </c>
    </row>
    <row r="28" spans="1:11" x14ac:dyDescent="0.3">
      <c r="A28" s="2">
        <v>25</v>
      </c>
      <c r="B28" t="s">
        <v>47</v>
      </c>
      <c r="C28" t="s">
        <v>13</v>
      </c>
      <c r="D28" t="s">
        <v>27</v>
      </c>
      <c r="E28" t="s">
        <v>29</v>
      </c>
      <c r="F28" t="s">
        <v>2</v>
      </c>
      <c r="G28" s="3">
        <v>25</v>
      </c>
      <c r="H28" s="4" t="s">
        <v>16</v>
      </c>
      <c r="I28" s="5">
        <v>45988.689351851855</v>
      </c>
      <c r="J28" s="5">
        <v>45988.689513888887</v>
      </c>
      <c r="K28" s="6">
        <v>1.6203703125938773E-4</v>
      </c>
    </row>
    <row r="29" spans="1:11" x14ac:dyDescent="0.3">
      <c r="A29" s="2">
        <v>26</v>
      </c>
      <c r="B29" t="s">
        <v>48</v>
      </c>
      <c r="C29" t="s">
        <v>13</v>
      </c>
      <c r="D29" t="s">
        <v>14</v>
      </c>
      <c r="E29" t="s">
        <v>33</v>
      </c>
      <c r="F29" t="s">
        <v>2</v>
      </c>
      <c r="G29" s="3">
        <v>25</v>
      </c>
      <c r="H29" s="4" t="s">
        <v>16</v>
      </c>
      <c r="I29" s="5">
        <v>45988.70579861111</v>
      </c>
      <c r="J29" s="5">
        <v>45988.706030092595</v>
      </c>
      <c r="K29" s="6">
        <v>2.3148147738538682E-4</v>
      </c>
    </row>
    <row r="30" spans="1:11" x14ac:dyDescent="0.3">
      <c r="A30" s="2">
        <v>27</v>
      </c>
      <c r="B30" t="s">
        <v>49</v>
      </c>
      <c r="C30" t="s">
        <v>13</v>
      </c>
      <c r="D30" t="s">
        <v>14</v>
      </c>
      <c r="E30" t="s">
        <v>33</v>
      </c>
      <c r="F30" t="s">
        <v>2</v>
      </c>
      <c r="G30" s="3">
        <v>25</v>
      </c>
      <c r="H30" s="4" t="s">
        <v>16</v>
      </c>
      <c r="I30" s="5">
        <v>45988.70616898148</v>
      </c>
      <c r="J30" s="5">
        <v>45988.706284722219</v>
      </c>
      <c r="K30" s="6">
        <v>1.1574075324460864E-4</v>
      </c>
    </row>
    <row r="31" spans="1:11" x14ac:dyDescent="0.3">
      <c r="B31" s="1" t="s">
        <v>50</v>
      </c>
      <c r="G31" s="7">
        <f>AVERAGE(G4:G30)</f>
        <v>25</v>
      </c>
      <c r="H31" s="7" t="e">
        <f>AVERAGE(H4:H30)</f>
        <v>#DIV/0!</v>
      </c>
    </row>
    <row r="32" spans="1:11" x14ac:dyDescent="0.3">
      <c r="B32" s="1" t="s">
        <v>51</v>
      </c>
      <c r="G32" s="7">
        <f>MIN(G4:G30)</f>
        <v>25</v>
      </c>
      <c r="H32" s="7">
        <f>MIN(H4:H30)</f>
        <v>0</v>
      </c>
    </row>
    <row r="33" spans="2:8" x14ac:dyDescent="0.3">
      <c r="B33" s="1" t="s">
        <v>52</v>
      </c>
      <c r="G33" s="7">
        <f>MAX(G4:G30)</f>
        <v>25</v>
      </c>
      <c r="H33" s="7">
        <f>MAX(H4:H30)</f>
        <v>0</v>
      </c>
    </row>
    <row r="34" spans="2:8" x14ac:dyDescent="0.3">
      <c r="B34" s="1" t="s">
        <v>53</v>
      </c>
      <c r="G34" s="7">
        <f>STDEV(G4:G30)</f>
        <v>0</v>
      </c>
      <c r="H34" s="7" t="e">
        <f>STDEV(H4:H30)</f>
        <v>#DIV/0!</v>
      </c>
    </row>
    <row r="36" spans="2:8" x14ac:dyDescent="0.3">
      <c r="B36" s="1" t="s">
        <v>54</v>
      </c>
      <c r="G36" s="7" t="s">
        <v>55</v>
      </c>
      <c r="H36" s="7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4B26-FB83-47DF-BA63-C7372377D7D0}">
  <sheetPr filterMode="1"/>
  <dimension ref="A1:V18"/>
  <sheetViews>
    <sheetView topLeftCell="D1" workbookViewId="0">
      <selection activeCell="J19" sqref="J19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19" width="11.6640625" bestFit="1" customWidth="1"/>
    <col min="20" max="21" width="17.88671875" bestFit="1" customWidth="1"/>
    <col min="22" max="22" width="11.6640625" bestFit="1" customWidth="1"/>
  </cols>
  <sheetData>
    <row r="1" spans="1:22" s="1" customFormat="1" ht="13.8" x14ac:dyDescent="0.25">
      <c r="A1" s="1" t="s">
        <v>0</v>
      </c>
    </row>
    <row r="3" spans="1:22" x14ac:dyDescent="0.3">
      <c r="A3" s="2" t="s">
        <v>1</v>
      </c>
      <c r="B3" s="2" t="s">
        <v>56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7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67</v>
      </c>
      <c r="S3" s="2" t="s">
        <v>68</v>
      </c>
      <c r="T3" s="2" t="s">
        <v>9</v>
      </c>
      <c r="U3" s="2" t="s">
        <v>10</v>
      </c>
      <c r="V3" s="2" t="s">
        <v>11</v>
      </c>
    </row>
    <row r="4" spans="1:22" hidden="1" x14ac:dyDescent="0.3">
      <c r="A4" s="2">
        <v>28</v>
      </c>
      <c r="B4" t="s">
        <v>69</v>
      </c>
      <c r="C4" t="s">
        <v>13</v>
      </c>
      <c r="D4" t="s">
        <v>70</v>
      </c>
      <c r="E4" t="s">
        <v>15</v>
      </c>
      <c r="F4" t="s">
        <v>56</v>
      </c>
      <c r="G4" s="8">
        <v>8.1999999999999993</v>
      </c>
      <c r="H4" s="8">
        <v>34.4</v>
      </c>
      <c r="I4" s="8">
        <v>1.9</v>
      </c>
      <c r="J4" s="8">
        <v>5.9</v>
      </c>
      <c r="K4" s="8">
        <v>12.3</v>
      </c>
      <c r="L4" s="8">
        <v>6.1</v>
      </c>
      <c r="M4" s="3">
        <v>25</v>
      </c>
      <c r="N4" s="8">
        <v>7.4</v>
      </c>
      <c r="O4" s="8">
        <v>15.5</v>
      </c>
      <c r="P4" s="8">
        <v>21.4</v>
      </c>
      <c r="Q4" s="8">
        <v>31.2</v>
      </c>
      <c r="R4" s="8">
        <v>19.8</v>
      </c>
      <c r="S4" s="8">
        <v>12.1</v>
      </c>
      <c r="T4" s="5">
        <v>45988.432638888888</v>
      </c>
      <c r="U4" s="5">
        <v>45988.432916666665</v>
      </c>
      <c r="V4" s="6">
        <v>2.7777778450399637E-4</v>
      </c>
    </row>
    <row r="5" spans="1:22" hidden="1" x14ac:dyDescent="0.3">
      <c r="A5" s="2">
        <v>29</v>
      </c>
      <c r="B5" t="s">
        <v>71</v>
      </c>
      <c r="C5" t="s">
        <v>13</v>
      </c>
      <c r="D5" t="s">
        <v>70</v>
      </c>
      <c r="E5" t="s">
        <v>15</v>
      </c>
      <c r="F5" t="s">
        <v>56</v>
      </c>
      <c r="G5" s="8">
        <v>8.1999999999999993</v>
      </c>
      <c r="H5" s="8">
        <v>34.4</v>
      </c>
      <c r="I5" s="8">
        <v>1.9</v>
      </c>
      <c r="J5" s="8">
        <v>5.8</v>
      </c>
      <c r="K5" s="8">
        <v>12.7</v>
      </c>
      <c r="L5" s="8">
        <v>6</v>
      </c>
      <c r="M5" s="3">
        <v>25</v>
      </c>
      <c r="N5" s="8">
        <v>7.8</v>
      </c>
      <c r="O5" s="8">
        <v>16.3</v>
      </c>
      <c r="P5" s="8">
        <v>22.9</v>
      </c>
      <c r="Q5" s="8">
        <v>31.7</v>
      </c>
      <c r="R5" s="8">
        <v>19.5</v>
      </c>
      <c r="S5" s="8">
        <v>13.4</v>
      </c>
      <c r="T5" s="5">
        <v>45988.433055555557</v>
      </c>
      <c r="U5" s="5">
        <v>45988.433136574073</v>
      </c>
      <c r="V5" s="6">
        <v>8.1018515629693866E-5</v>
      </c>
    </row>
    <row r="6" spans="1:22" hidden="1" x14ac:dyDescent="0.3">
      <c r="A6" s="2">
        <v>30</v>
      </c>
      <c r="B6" t="s">
        <v>72</v>
      </c>
      <c r="C6" t="s">
        <v>13</v>
      </c>
      <c r="D6" t="s">
        <v>70</v>
      </c>
      <c r="E6" t="s">
        <v>15</v>
      </c>
      <c r="F6" t="s">
        <v>56</v>
      </c>
      <c r="G6" s="8">
        <v>8.1999999999999993</v>
      </c>
      <c r="H6" s="8">
        <v>34.299999999999997</v>
      </c>
      <c r="I6" s="8">
        <v>2</v>
      </c>
      <c r="J6" s="8">
        <v>5.9</v>
      </c>
      <c r="K6" s="8">
        <v>12.8</v>
      </c>
      <c r="L6" s="8">
        <v>6</v>
      </c>
      <c r="M6" s="3">
        <v>25</v>
      </c>
      <c r="N6" s="8">
        <v>8.3000000000000007</v>
      </c>
      <c r="O6" s="8">
        <v>17.399999999999999</v>
      </c>
      <c r="P6" s="8">
        <v>21.3</v>
      </c>
      <c r="Q6" s="8">
        <v>32.5</v>
      </c>
      <c r="R6" s="8">
        <v>19.399999999999999</v>
      </c>
      <c r="S6" s="8">
        <v>13.1</v>
      </c>
      <c r="T6" s="5">
        <v>45988.433321759258</v>
      </c>
      <c r="U6" s="5">
        <v>45988.433437500003</v>
      </c>
      <c r="V6" s="6">
        <v>1.1574075324460864E-4</v>
      </c>
    </row>
    <row r="7" spans="1:22" x14ac:dyDescent="0.3">
      <c r="A7" s="2">
        <v>31</v>
      </c>
      <c r="B7" t="s">
        <v>73</v>
      </c>
      <c r="C7" t="s">
        <v>13</v>
      </c>
      <c r="D7" t="s">
        <v>70</v>
      </c>
      <c r="E7" t="s">
        <v>29</v>
      </c>
      <c r="F7" t="s">
        <v>56</v>
      </c>
      <c r="G7" s="8">
        <v>8</v>
      </c>
      <c r="H7" s="8">
        <v>36</v>
      </c>
      <c r="I7" s="8">
        <v>2.2000000000000002</v>
      </c>
      <c r="J7" s="8">
        <v>5.3</v>
      </c>
      <c r="K7" s="8">
        <v>12.7</v>
      </c>
      <c r="L7" s="8">
        <v>6.3</v>
      </c>
      <c r="M7" s="3">
        <v>25</v>
      </c>
      <c r="N7" s="8">
        <v>4.9000000000000004</v>
      </c>
      <c r="O7" s="8">
        <v>8.8000000000000007</v>
      </c>
      <c r="P7" s="8">
        <v>14.6</v>
      </c>
      <c r="Q7" s="8">
        <v>16.5</v>
      </c>
      <c r="R7" s="8">
        <v>12.6</v>
      </c>
      <c r="S7" s="8">
        <v>6.1</v>
      </c>
      <c r="T7" s="5">
        <v>45988.701203703706</v>
      </c>
      <c r="U7" s="5">
        <v>45988.70140046296</v>
      </c>
      <c r="V7" s="6">
        <v>1.9675926887430251E-4</v>
      </c>
    </row>
    <row r="8" spans="1:22" x14ac:dyDescent="0.3">
      <c r="A8" s="2">
        <v>32</v>
      </c>
      <c r="B8" t="s">
        <v>74</v>
      </c>
      <c r="C8" t="s">
        <v>13</v>
      </c>
      <c r="D8" t="s">
        <v>70</v>
      </c>
      <c r="E8" t="s">
        <v>29</v>
      </c>
      <c r="F8" t="s">
        <v>56</v>
      </c>
      <c r="G8" s="8">
        <v>7.9</v>
      </c>
      <c r="H8" s="8">
        <v>36.299999999999997</v>
      </c>
      <c r="I8" s="8">
        <v>2.1</v>
      </c>
      <c r="J8" s="8">
        <v>5.3</v>
      </c>
      <c r="K8" s="8">
        <v>12.6</v>
      </c>
      <c r="L8" s="8">
        <v>6.2</v>
      </c>
      <c r="M8" s="3">
        <v>25</v>
      </c>
      <c r="N8" s="8">
        <v>5.3</v>
      </c>
      <c r="O8" s="8">
        <v>8.8000000000000007</v>
      </c>
      <c r="P8" s="8">
        <v>13.1</v>
      </c>
      <c r="Q8" s="8">
        <v>17.3</v>
      </c>
      <c r="R8" s="8">
        <v>11.7</v>
      </c>
      <c r="S8" s="8">
        <v>6.3</v>
      </c>
      <c r="T8" s="5">
        <v>45988.701562499999</v>
      </c>
      <c r="U8" s="5">
        <v>45988.701724537037</v>
      </c>
      <c r="V8" s="6">
        <v>1.6203703125938773E-4</v>
      </c>
    </row>
    <row r="9" spans="1:22" x14ac:dyDescent="0.3">
      <c r="A9" s="2">
        <v>33</v>
      </c>
      <c r="B9" t="s">
        <v>75</v>
      </c>
      <c r="C9" t="s">
        <v>13</v>
      </c>
      <c r="D9" t="s">
        <v>70</v>
      </c>
      <c r="E9" t="s">
        <v>29</v>
      </c>
      <c r="F9" t="s">
        <v>56</v>
      </c>
      <c r="G9" s="8">
        <v>8</v>
      </c>
      <c r="H9" s="8">
        <v>36.200000000000003</v>
      </c>
      <c r="I9" s="8">
        <v>2.2000000000000002</v>
      </c>
      <c r="J9" s="8">
        <v>5.4</v>
      </c>
      <c r="K9" s="8">
        <v>12.6</v>
      </c>
      <c r="L9" s="8">
        <v>6.2</v>
      </c>
      <c r="M9" s="3">
        <v>25</v>
      </c>
      <c r="N9" s="8">
        <v>5.0999999999999996</v>
      </c>
      <c r="O9" s="8">
        <v>8.9</v>
      </c>
      <c r="P9" s="8">
        <v>14.1</v>
      </c>
      <c r="Q9" s="8">
        <v>18.7</v>
      </c>
      <c r="R9" s="8">
        <v>12.9</v>
      </c>
      <c r="S9" s="8">
        <v>6.6</v>
      </c>
      <c r="T9" s="5">
        <v>45988.701874999999</v>
      </c>
      <c r="U9" s="5">
        <v>45988.701990740738</v>
      </c>
      <c r="V9" s="6">
        <v>1.1574075324460864E-4</v>
      </c>
    </row>
    <row r="10" spans="1:22" x14ac:dyDescent="0.3">
      <c r="A10" s="2">
        <v>34</v>
      </c>
      <c r="B10" t="s">
        <v>76</v>
      </c>
      <c r="C10" t="s">
        <v>13</v>
      </c>
      <c r="D10" t="s">
        <v>70</v>
      </c>
      <c r="E10" t="s">
        <v>33</v>
      </c>
      <c r="F10" t="s">
        <v>56</v>
      </c>
      <c r="G10" s="8">
        <v>8.1</v>
      </c>
      <c r="H10" s="8">
        <v>36.200000000000003</v>
      </c>
      <c r="I10" s="8">
        <v>2.2999999999999998</v>
      </c>
      <c r="J10" s="8">
        <v>5.4</v>
      </c>
      <c r="K10" s="8">
        <v>12.4</v>
      </c>
      <c r="L10" s="8">
        <v>6.3</v>
      </c>
      <c r="M10" s="3">
        <v>25</v>
      </c>
      <c r="N10" s="8">
        <v>5.5</v>
      </c>
      <c r="O10" s="8">
        <v>10.199999999999999</v>
      </c>
      <c r="P10" s="8">
        <v>16</v>
      </c>
      <c r="Q10" s="8">
        <v>18.5</v>
      </c>
      <c r="R10" s="8">
        <v>15.7</v>
      </c>
      <c r="S10" s="8">
        <v>7.3</v>
      </c>
      <c r="T10" s="5">
        <v>45988.706574074073</v>
      </c>
      <c r="U10" s="5">
        <v>45988.706805555557</v>
      </c>
      <c r="V10" s="6">
        <v>2.3148147738538682E-4</v>
      </c>
    </row>
    <row r="11" spans="1:22" x14ac:dyDescent="0.3">
      <c r="A11" s="2">
        <v>35</v>
      </c>
      <c r="B11" t="s">
        <v>77</v>
      </c>
      <c r="C11" t="s">
        <v>13</v>
      </c>
      <c r="D11" t="s">
        <v>70</v>
      </c>
      <c r="E11" t="s">
        <v>33</v>
      </c>
      <c r="F11" t="s">
        <v>56</v>
      </c>
      <c r="G11" s="8">
        <v>8.1</v>
      </c>
      <c r="H11" s="8">
        <v>36</v>
      </c>
      <c r="I11" s="8">
        <v>2.2999999999999998</v>
      </c>
      <c r="J11" s="8">
        <v>5.4</v>
      </c>
      <c r="K11" s="8">
        <v>12.3</v>
      </c>
      <c r="L11" s="8">
        <v>6.3</v>
      </c>
      <c r="M11" s="3">
        <v>25</v>
      </c>
      <c r="N11" s="8">
        <v>5.8</v>
      </c>
      <c r="O11" s="8">
        <v>10.5</v>
      </c>
      <c r="P11" s="8">
        <v>17.2</v>
      </c>
      <c r="Q11" s="8">
        <v>18.899999999999999</v>
      </c>
      <c r="R11" s="8">
        <v>16.7</v>
      </c>
      <c r="S11" s="8">
        <v>7.7</v>
      </c>
      <c r="T11" s="5">
        <v>45988.706932870373</v>
      </c>
      <c r="U11" s="5">
        <v>45988.707048611112</v>
      </c>
      <c r="V11" s="6">
        <v>1.1574075324460864E-4</v>
      </c>
    </row>
    <row r="12" spans="1:22" x14ac:dyDescent="0.3">
      <c r="A12" s="2">
        <v>36</v>
      </c>
      <c r="B12" t="s">
        <v>78</v>
      </c>
      <c r="C12" t="s">
        <v>13</v>
      </c>
      <c r="D12" t="s">
        <v>70</v>
      </c>
      <c r="E12" t="s">
        <v>33</v>
      </c>
      <c r="F12" t="s">
        <v>56</v>
      </c>
      <c r="G12" s="8">
        <v>8.1</v>
      </c>
      <c r="H12" s="8">
        <v>36.299999999999997</v>
      </c>
      <c r="I12" s="8">
        <v>2.2999999999999998</v>
      </c>
      <c r="J12" s="8">
        <v>5.5</v>
      </c>
      <c r="K12" s="8">
        <v>12.2</v>
      </c>
      <c r="L12" s="8">
        <v>6.3</v>
      </c>
      <c r="M12" s="3">
        <v>25</v>
      </c>
      <c r="N12" s="8">
        <v>5.9</v>
      </c>
      <c r="O12" s="8">
        <v>10.3</v>
      </c>
      <c r="P12" s="8">
        <v>17.2</v>
      </c>
      <c r="Q12" s="8">
        <v>20</v>
      </c>
      <c r="R12" s="8">
        <v>17.100000000000001</v>
      </c>
      <c r="S12" s="8">
        <v>7.7</v>
      </c>
      <c r="T12" s="5">
        <v>45988.70721064815</v>
      </c>
      <c r="U12" s="5">
        <v>45988.707407407404</v>
      </c>
      <c r="V12" s="6">
        <v>1.9675926887430251E-4</v>
      </c>
    </row>
    <row r="13" spans="1:22" x14ac:dyDescent="0.3">
      <c r="B13" s="1" t="s">
        <v>50</v>
      </c>
      <c r="G13" s="9">
        <f t="shared" ref="G13:S13" si="0">AVERAGE(G4:G12)</f>
        <v>8.0888888888888868</v>
      </c>
      <c r="H13" s="9">
        <f t="shared" si="0"/>
        <v>35.566666666666663</v>
      </c>
      <c r="I13" s="9">
        <f t="shared" si="0"/>
        <v>2.1333333333333337</v>
      </c>
      <c r="J13" s="9">
        <f t="shared" si="0"/>
        <v>5.5444444444444443</v>
      </c>
      <c r="K13" s="9">
        <f t="shared" si="0"/>
        <v>12.511111111111113</v>
      </c>
      <c r="L13" s="9">
        <f t="shared" si="0"/>
        <v>6.1888888888888882</v>
      </c>
      <c r="M13" s="7">
        <f t="shared" si="0"/>
        <v>25</v>
      </c>
      <c r="N13" s="9">
        <f t="shared" si="0"/>
        <v>6.2222222222222214</v>
      </c>
      <c r="O13" s="9">
        <f t="shared" si="0"/>
        <v>11.855555555555556</v>
      </c>
      <c r="P13" s="9">
        <f t="shared" si="0"/>
        <v>17.533333333333328</v>
      </c>
      <c r="Q13" s="9">
        <f t="shared" si="0"/>
        <v>22.811111111111114</v>
      </c>
      <c r="R13" s="9">
        <f t="shared" si="0"/>
        <v>16.155555555555555</v>
      </c>
      <c r="S13" s="9">
        <f t="shared" si="0"/>
        <v>8.9222222222222243</v>
      </c>
    </row>
    <row r="14" spans="1:22" x14ac:dyDescent="0.3">
      <c r="B14" s="1" t="s">
        <v>51</v>
      </c>
      <c r="G14" s="9">
        <f t="shared" ref="G14:S14" si="1">MIN(G4:G12)</f>
        <v>7.9</v>
      </c>
      <c r="H14" s="9">
        <f t="shared" si="1"/>
        <v>34.299999999999997</v>
      </c>
      <c r="I14" s="9">
        <f t="shared" si="1"/>
        <v>1.9</v>
      </c>
      <c r="J14" s="9">
        <f t="shared" si="1"/>
        <v>5.3</v>
      </c>
      <c r="K14" s="9">
        <f t="shared" si="1"/>
        <v>12.2</v>
      </c>
      <c r="L14" s="9">
        <f t="shared" si="1"/>
        <v>6</v>
      </c>
      <c r="M14" s="7">
        <f t="shared" si="1"/>
        <v>25</v>
      </c>
      <c r="N14" s="9">
        <f t="shared" si="1"/>
        <v>4.9000000000000004</v>
      </c>
      <c r="O14" s="9">
        <f t="shared" si="1"/>
        <v>8.8000000000000007</v>
      </c>
      <c r="P14" s="9">
        <f t="shared" si="1"/>
        <v>13.1</v>
      </c>
      <c r="Q14" s="9">
        <f t="shared" si="1"/>
        <v>16.5</v>
      </c>
      <c r="R14" s="9">
        <f t="shared" si="1"/>
        <v>11.7</v>
      </c>
      <c r="S14" s="9">
        <f t="shared" si="1"/>
        <v>6.1</v>
      </c>
    </row>
    <row r="15" spans="1:22" x14ac:dyDescent="0.3">
      <c r="B15" s="1" t="s">
        <v>52</v>
      </c>
      <c r="G15" s="9">
        <f t="shared" ref="G15:S15" si="2">MAX(G4:G12)</f>
        <v>8.1999999999999993</v>
      </c>
      <c r="H15" s="9">
        <f t="shared" si="2"/>
        <v>36.299999999999997</v>
      </c>
      <c r="I15" s="9">
        <f t="shared" si="2"/>
        <v>2.2999999999999998</v>
      </c>
      <c r="J15" s="9">
        <f t="shared" si="2"/>
        <v>5.9</v>
      </c>
      <c r="K15" s="9">
        <f t="shared" si="2"/>
        <v>12.8</v>
      </c>
      <c r="L15" s="9">
        <f t="shared" si="2"/>
        <v>6.3</v>
      </c>
      <c r="M15" s="7">
        <f t="shared" si="2"/>
        <v>25</v>
      </c>
      <c r="N15" s="9">
        <f t="shared" si="2"/>
        <v>8.3000000000000007</v>
      </c>
      <c r="O15" s="9">
        <f t="shared" si="2"/>
        <v>17.399999999999999</v>
      </c>
      <c r="P15" s="9">
        <f t="shared" si="2"/>
        <v>22.9</v>
      </c>
      <c r="Q15" s="9">
        <f t="shared" si="2"/>
        <v>32.5</v>
      </c>
      <c r="R15" s="9">
        <f t="shared" si="2"/>
        <v>19.8</v>
      </c>
      <c r="S15" s="9">
        <f t="shared" si="2"/>
        <v>13.4</v>
      </c>
    </row>
    <row r="16" spans="1:22" x14ac:dyDescent="0.3">
      <c r="B16" s="1" t="s">
        <v>53</v>
      </c>
      <c r="G16" s="9">
        <f t="shared" ref="G16:S16" si="3">STDEV(G4:G12)</f>
        <v>0.10540925533894561</v>
      </c>
      <c r="H16" s="9">
        <f t="shared" si="3"/>
        <v>0.90691785736085373</v>
      </c>
      <c r="I16" s="9">
        <f t="shared" si="3"/>
        <v>0.16583123951776996</v>
      </c>
      <c r="J16" s="9">
        <f t="shared" si="3"/>
        <v>0.25055493963954856</v>
      </c>
      <c r="K16" s="9">
        <f t="shared" si="3"/>
        <v>0.21473497877875197</v>
      </c>
      <c r="L16" s="9">
        <f t="shared" si="3"/>
        <v>0.12692955176439844</v>
      </c>
      <c r="M16" s="7">
        <f t="shared" si="3"/>
        <v>0</v>
      </c>
      <c r="N16" s="9">
        <f t="shared" si="3"/>
        <v>1.2676531246537668</v>
      </c>
      <c r="O16" s="9">
        <f t="shared" si="3"/>
        <v>3.5032524570429904</v>
      </c>
      <c r="P16" s="9">
        <f t="shared" si="3"/>
        <v>3.5454195802471986</v>
      </c>
      <c r="Q16" s="9">
        <f t="shared" si="3"/>
        <v>6.8204553448513243</v>
      </c>
      <c r="R16" s="9">
        <f t="shared" si="3"/>
        <v>3.1520275661513084</v>
      </c>
      <c r="S16" s="9">
        <f t="shared" si="3"/>
        <v>3.0301723456668923</v>
      </c>
    </row>
    <row r="18" spans="2:19" x14ac:dyDescent="0.3">
      <c r="B18" s="1" t="s">
        <v>54</v>
      </c>
      <c r="G18" s="9" t="s">
        <v>55</v>
      </c>
      <c r="H18" s="9" t="s">
        <v>55</v>
      </c>
      <c r="I18" s="9" t="s">
        <v>55</v>
      </c>
      <c r="J18" s="9" t="s">
        <v>55</v>
      </c>
      <c r="K18" s="9" t="s">
        <v>55</v>
      </c>
      <c r="L18" s="9" t="s">
        <v>55</v>
      </c>
      <c r="M18" s="7" t="s">
        <v>55</v>
      </c>
      <c r="N18" s="9" t="s">
        <v>55</v>
      </c>
      <c r="O18" s="9" t="s">
        <v>55</v>
      </c>
      <c r="P18" s="9" t="s">
        <v>55</v>
      </c>
      <c r="Q18" s="9" t="s">
        <v>55</v>
      </c>
      <c r="R18" s="9" t="s">
        <v>55</v>
      </c>
      <c r="S18" s="9" t="s">
        <v>55</v>
      </c>
    </row>
  </sheetData>
  <autoFilter ref="A3:V16" xr:uid="{63E84B26-FB83-47DF-BA63-C7372377D7D0}">
    <filterColumn colId="4">
      <filters blank="1">
        <filter val="L1.2 LB"/>
        <filter val="L2.2 LB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893D-05FB-4C22-9DC7-6E1EF0893116}">
  <sheetPr filterMode="1"/>
  <dimension ref="A1:V18"/>
  <sheetViews>
    <sheetView workbookViewId="0">
      <selection activeCell="A3" sqref="A3:XFD3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19" width="11.6640625" bestFit="1" customWidth="1"/>
    <col min="20" max="21" width="17.88671875" bestFit="1" customWidth="1"/>
    <col min="22" max="22" width="11.6640625" bestFit="1" customWidth="1"/>
  </cols>
  <sheetData>
    <row r="1" spans="1:22" s="1" customFormat="1" ht="13.8" x14ac:dyDescent="0.25">
      <c r="A1" s="1" t="s">
        <v>0</v>
      </c>
    </row>
    <row r="3" spans="1:22" x14ac:dyDescent="0.3">
      <c r="A3" s="2" t="s">
        <v>1</v>
      </c>
      <c r="B3" s="2" t="s">
        <v>79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57</v>
      </c>
      <c r="H3" s="2" t="s">
        <v>58</v>
      </c>
      <c r="I3" s="2" t="s">
        <v>59</v>
      </c>
      <c r="J3" s="2" t="s">
        <v>61</v>
      </c>
      <c r="K3" s="2" t="s">
        <v>62</v>
      </c>
      <c r="L3" s="2" t="s">
        <v>80</v>
      </c>
      <c r="M3" s="2" t="s">
        <v>7</v>
      </c>
      <c r="N3" s="2" t="s">
        <v>63</v>
      </c>
      <c r="O3" s="2" t="s">
        <v>64</v>
      </c>
      <c r="P3" s="2" t="s">
        <v>81</v>
      </c>
      <c r="Q3" s="2" t="s">
        <v>67</v>
      </c>
      <c r="R3" s="2" t="s">
        <v>68</v>
      </c>
      <c r="S3" s="2" t="s">
        <v>82</v>
      </c>
      <c r="T3" s="2" t="s">
        <v>9</v>
      </c>
      <c r="U3" s="2" t="s">
        <v>10</v>
      </c>
      <c r="V3" s="2" t="s">
        <v>11</v>
      </c>
    </row>
    <row r="4" spans="1:22" hidden="1" x14ac:dyDescent="0.3">
      <c r="A4" s="2">
        <v>37</v>
      </c>
      <c r="B4" t="s">
        <v>83</v>
      </c>
      <c r="C4" t="s">
        <v>13</v>
      </c>
      <c r="D4" t="s">
        <v>84</v>
      </c>
      <c r="E4" t="s">
        <v>15</v>
      </c>
      <c r="F4" t="s">
        <v>79</v>
      </c>
      <c r="G4" s="8">
        <v>11.6</v>
      </c>
      <c r="H4" s="8">
        <v>7</v>
      </c>
      <c r="I4" s="8">
        <v>1.7</v>
      </c>
      <c r="J4" s="8">
        <v>3.2</v>
      </c>
      <c r="K4" s="8">
        <v>1.3</v>
      </c>
      <c r="L4" s="8">
        <v>59.7</v>
      </c>
      <c r="M4" s="3">
        <v>25</v>
      </c>
      <c r="N4" s="8">
        <v>13.7</v>
      </c>
      <c r="O4" s="8">
        <v>14.8</v>
      </c>
      <c r="P4" s="8">
        <v>6.5</v>
      </c>
      <c r="Q4" s="8">
        <v>7</v>
      </c>
      <c r="R4" s="4" t="s">
        <v>85</v>
      </c>
      <c r="S4" s="8">
        <v>5.0999999999999996</v>
      </c>
      <c r="T4" s="5">
        <v>45988.433587962965</v>
      </c>
      <c r="U4" s="5">
        <v>45988.433749999997</v>
      </c>
      <c r="V4" s="6">
        <v>1.6203703125938773E-4</v>
      </c>
    </row>
    <row r="5" spans="1:22" hidden="1" x14ac:dyDescent="0.3">
      <c r="A5" s="2">
        <v>38</v>
      </c>
      <c r="B5" t="s">
        <v>86</v>
      </c>
      <c r="C5" t="s">
        <v>13</v>
      </c>
      <c r="D5" t="s">
        <v>84</v>
      </c>
      <c r="E5" t="s">
        <v>15</v>
      </c>
      <c r="F5" t="s">
        <v>79</v>
      </c>
      <c r="G5" s="8">
        <v>11.6</v>
      </c>
      <c r="H5" s="8">
        <v>7.1</v>
      </c>
      <c r="I5" s="8">
        <v>1.7</v>
      </c>
      <c r="J5" s="8">
        <v>3.2</v>
      </c>
      <c r="K5" s="8">
        <v>1.3</v>
      </c>
      <c r="L5" s="8">
        <v>59.7</v>
      </c>
      <c r="M5" s="3">
        <v>25</v>
      </c>
      <c r="N5" s="8">
        <v>14</v>
      </c>
      <c r="O5" s="8">
        <v>13.1</v>
      </c>
      <c r="P5" s="8">
        <v>6.7</v>
      </c>
      <c r="Q5" s="8">
        <v>6.8</v>
      </c>
      <c r="R5" s="4" t="s">
        <v>85</v>
      </c>
      <c r="S5" s="8">
        <v>6.1</v>
      </c>
      <c r="T5" s="5">
        <v>45988.433865740742</v>
      </c>
      <c r="U5" s="5">
        <v>45988.433993055558</v>
      </c>
      <c r="V5" s="6">
        <v>1.1574075324460864E-4</v>
      </c>
    </row>
    <row r="6" spans="1:22" hidden="1" x14ac:dyDescent="0.3">
      <c r="A6" s="2">
        <v>39</v>
      </c>
      <c r="B6" t="s">
        <v>87</v>
      </c>
      <c r="C6" t="s">
        <v>13</v>
      </c>
      <c r="D6" t="s">
        <v>84</v>
      </c>
      <c r="E6" t="s">
        <v>15</v>
      </c>
      <c r="F6" t="s">
        <v>79</v>
      </c>
      <c r="G6" s="8">
        <v>11.5</v>
      </c>
      <c r="H6" s="8">
        <v>7.3</v>
      </c>
      <c r="I6" s="8">
        <v>1.7</v>
      </c>
      <c r="J6" s="8">
        <v>3.3</v>
      </c>
      <c r="K6" s="8">
        <v>1.3</v>
      </c>
      <c r="L6" s="8">
        <v>59.3</v>
      </c>
      <c r="M6" s="3">
        <v>25</v>
      </c>
      <c r="N6" s="8">
        <v>13.1</v>
      </c>
      <c r="O6" s="8">
        <v>14.6</v>
      </c>
      <c r="P6" s="8">
        <v>8.5</v>
      </c>
      <c r="Q6" s="8">
        <v>6.7</v>
      </c>
      <c r="R6" s="4" t="s">
        <v>85</v>
      </c>
      <c r="S6" s="8">
        <v>6</v>
      </c>
      <c r="T6" s="5">
        <v>45988.43414351852</v>
      </c>
      <c r="U6" s="5">
        <v>45988.434305555558</v>
      </c>
      <c r="V6" s="6">
        <v>1.6203703125938773E-4</v>
      </c>
    </row>
    <row r="7" spans="1:22" x14ac:dyDescent="0.3">
      <c r="A7" s="2">
        <v>40</v>
      </c>
      <c r="B7" t="s">
        <v>88</v>
      </c>
      <c r="C7" t="s">
        <v>13</v>
      </c>
      <c r="D7" t="s">
        <v>84</v>
      </c>
      <c r="E7" t="s">
        <v>29</v>
      </c>
      <c r="F7" t="s">
        <v>79</v>
      </c>
      <c r="G7" s="8">
        <v>11.5</v>
      </c>
      <c r="H7" s="8">
        <v>7.7</v>
      </c>
      <c r="I7" s="8">
        <v>1.7</v>
      </c>
      <c r="J7" s="8">
        <v>3.4</v>
      </c>
      <c r="K7" s="8">
        <v>1.3</v>
      </c>
      <c r="L7" s="8">
        <v>60.4</v>
      </c>
      <c r="M7" s="3">
        <v>25</v>
      </c>
      <c r="N7" s="8">
        <v>8.6999999999999993</v>
      </c>
      <c r="O7" s="8">
        <v>8.5</v>
      </c>
      <c r="P7" s="8">
        <v>5.5</v>
      </c>
      <c r="Q7" s="8">
        <v>5.9</v>
      </c>
      <c r="R7" s="4" t="s">
        <v>85</v>
      </c>
      <c r="S7" s="8">
        <v>3.2</v>
      </c>
      <c r="T7" s="5">
        <v>45988.698831018519</v>
      </c>
      <c r="U7" s="5">
        <v>45988.699537037035</v>
      </c>
      <c r="V7" s="6">
        <v>7.060185307636857E-4</v>
      </c>
    </row>
    <row r="8" spans="1:22" x14ac:dyDescent="0.3">
      <c r="A8" s="2">
        <v>41</v>
      </c>
      <c r="B8" t="s">
        <v>89</v>
      </c>
      <c r="C8" t="s">
        <v>13</v>
      </c>
      <c r="D8" t="s">
        <v>84</v>
      </c>
      <c r="E8" t="s">
        <v>29</v>
      </c>
      <c r="F8" t="s">
        <v>79</v>
      </c>
      <c r="G8" s="8">
        <v>11.5</v>
      </c>
      <c r="H8" s="8">
        <v>7.7</v>
      </c>
      <c r="I8" s="8">
        <v>1.7</v>
      </c>
      <c r="J8" s="8">
        <v>3.5</v>
      </c>
      <c r="K8" s="8">
        <v>1.3</v>
      </c>
      <c r="L8" s="8">
        <v>60.1</v>
      </c>
      <c r="M8" s="3">
        <v>25</v>
      </c>
      <c r="N8" s="8">
        <v>8.4</v>
      </c>
      <c r="O8" s="8">
        <v>9.1999999999999993</v>
      </c>
      <c r="P8" s="8">
        <v>6.6</v>
      </c>
      <c r="Q8" s="8">
        <v>5.6</v>
      </c>
      <c r="R8" s="4" t="s">
        <v>85</v>
      </c>
      <c r="S8" s="8">
        <v>3</v>
      </c>
      <c r="T8" s="5">
        <v>45988.699699074074</v>
      </c>
      <c r="U8" s="5">
        <v>45988.699814814812</v>
      </c>
      <c r="V8" s="6">
        <v>1.1574075324460864E-4</v>
      </c>
    </row>
    <row r="9" spans="1:22" x14ac:dyDescent="0.3">
      <c r="A9" s="2">
        <v>42</v>
      </c>
      <c r="B9" t="s">
        <v>90</v>
      </c>
      <c r="C9" t="s">
        <v>13</v>
      </c>
      <c r="D9" t="s">
        <v>84</v>
      </c>
      <c r="E9" t="s">
        <v>29</v>
      </c>
      <c r="F9" t="s">
        <v>79</v>
      </c>
      <c r="G9" s="8">
        <v>11.5</v>
      </c>
      <c r="H9" s="8">
        <v>7.9</v>
      </c>
      <c r="I9" s="8">
        <v>1.7</v>
      </c>
      <c r="J9" s="8">
        <v>3.5</v>
      </c>
      <c r="K9" s="8">
        <v>1.3</v>
      </c>
      <c r="L9" s="8">
        <v>59.5</v>
      </c>
      <c r="M9" s="3">
        <v>25</v>
      </c>
      <c r="N9" s="8">
        <v>9.1</v>
      </c>
      <c r="O9" s="8">
        <v>9.5</v>
      </c>
      <c r="P9" s="8">
        <v>7.6</v>
      </c>
      <c r="Q9" s="8">
        <v>5.9</v>
      </c>
      <c r="R9" s="8">
        <v>11.1</v>
      </c>
      <c r="S9" s="8">
        <v>3.5</v>
      </c>
      <c r="T9" s="5">
        <v>45988.7</v>
      </c>
      <c r="U9" s="5">
        <v>45988.700115740743</v>
      </c>
      <c r="V9" s="6">
        <v>1.1574075324460864E-4</v>
      </c>
    </row>
    <row r="10" spans="1:22" x14ac:dyDescent="0.3">
      <c r="A10" s="2">
        <v>43</v>
      </c>
      <c r="B10" t="s">
        <v>91</v>
      </c>
      <c r="C10" t="s">
        <v>13</v>
      </c>
      <c r="D10" t="s">
        <v>84</v>
      </c>
      <c r="E10" t="s">
        <v>33</v>
      </c>
      <c r="F10" t="s">
        <v>79</v>
      </c>
      <c r="G10" s="8">
        <v>11.5</v>
      </c>
      <c r="H10" s="8">
        <v>8.1</v>
      </c>
      <c r="I10" s="8">
        <v>1.8</v>
      </c>
      <c r="J10" s="8">
        <v>3.5</v>
      </c>
      <c r="K10" s="8">
        <v>1.4</v>
      </c>
      <c r="L10" s="8">
        <v>59.6</v>
      </c>
      <c r="M10" s="3">
        <v>25</v>
      </c>
      <c r="N10" s="8">
        <v>9.9</v>
      </c>
      <c r="O10" s="8">
        <v>9.6999999999999993</v>
      </c>
      <c r="P10" s="8">
        <v>7</v>
      </c>
      <c r="Q10" s="8">
        <v>6.2</v>
      </c>
      <c r="R10" s="4" t="s">
        <v>85</v>
      </c>
      <c r="S10" s="8">
        <v>3.4</v>
      </c>
      <c r="T10" s="5">
        <v>45988.708414351851</v>
      </c>
      <c r="U10" s="5">
        <v>45988.708645833336</v>
      </c>
      <c r="V10" s="6">
        <v>2.430555468890816E-4</v>
      </c>
    </row>
    <row r="11" spans="1:22" x14ac:dyDescent="0.3">
      <c r="A11" s="2">
        <v>44</v>
      </c>
      <c r="B11" t="s">
        <v>92</v>
      </c>
      <c r="C11" t="s">
        <v>13</v>
      </c>
      <c r="D11" t="s">
        <v>84</v>
      </c>
      <c r="E11" t="s">
        <v>33</v>
      </c>
      <c r="F11" t="s">
        <v>79</v>
      </c>
      <c r="G11" s="8">
        <v>11.5</v>
      </c>
      <c r="H11" s="8">
        <v>7.9</v>
      </c>
      <c r="I11" s="8">
        <v>1.6</v>
      </c>
      <c r="J11" s="8">
        <v>3.3</v>
      </c>
      <c r="K11" s="8">
        <v>1.3</v>
      </c>
      <c r="L11" s="8">
        <v>59.6</v>
      </c>
      <c r="M11" s="3">
        <v>25</v>
      </c>
      <c r="N11" s="8">
        <v>8.6</v>
      </c>
      <c r="O11" s="8">
        <v>8.6999999999999993</v>
      </c>
      <c r="P11" s="8">
        <v>5.8</v>
      </c>
      <c r="Q11" s="8">
        <v>4.8</v>
      </c>
      <c r="R11" s="4" t="s">
        <v>85</v>
      </c>
      <c r="S11" s="8">
        <v>3.3</v>
      </c>
      <c r="T11" s="5">
        <v>45988.708784722221</v>
      </c>
      <c r="U11" s="5">
        <v>45988.708981481483</v>
      </c>
      <c r="V11" s="6">
        <v>1.9675926887430251E-4</v>
      </c>
    </row>
    <row r="12" spans="1:22" x14ac:dyDescent="0.3">
      <c r="A12" s="2">
        <v>45</v>
      </c>
      <c r="B12" t="s">
        <v>93</v>
      </c>
      <c r="C12" t="s">
        <v>13</v>
      </c>
      <c r="D12" t="s">
        <v>84</v>
      </c>
      <c r="E12" t="s">
        <v>33</v>
      </c>
      <c r="F12" t="s">
        <v>79</v>
      </c>
      <c r="G12" s="8">
        <v>11.5</v>
      </c>
      <c r="H12" s="8">
        <v>8</v>
      </c>
      <c r="I12" s="8">
        <v>1.7</v>
      </c>
      <c r="J12" s="8">
        <v>3.5</v>
      </c>
      <c r="K12" s="8">
        <v>1.4</v>
      </c>
      <c r="L12" s="8">
        <v>58.7</v>
      </c>
      <c r="M12" s="3">
        <v>25</v>
      </c>
      <c r="N12" s="8">
        <v>10.1</v>
      </c>
      <c r="O12" s="8">
        <v>11.2</v>
      </c>
      <c r="P12" s="8">
        <v>8.6</v>
      </c>
      <c r="Q12" s="8">
        <v>6.3</v>
      </c>
      <c r="R12" s="4" t="s">
        <v>85</v>
      </c>
      <c r="S12" s="8">
        <v>3.8</v>
      </c>
      <c r="T12" s="5">
        <v>45988.709108796298</v>
      </c>
      <c r="U12" s="5">
        <v>45988.709305555552</v>
      </c>
      <c r="V12" s="6">
        <v>1.9675926887430251E-4</v>
      </c>
    </row>
    <row r="13" spans="1:22" x14ac:dyDescent="0.3">
      <c r="B13" s="1" t="s">
        <v>50</v>
      </c>
      <c r="G13" s="9">
        <f t="shared" ref="G13:S13" si="0">AVERAGE(G4:G12)</f>
        <v>11.522222222222222</v>
      </c>
      <c r="H13" s="9">
        <f t="shared" si="0"/>
        <v>7.633333333333332</v>
      </c>
      <c r="I13" s="9">
        <f t="shared" si="0"/>
        <v>1.7</v>
      </c>
      <c r="J13" s="9">
        <f t="shared" si="0"/>
        <v>3.3777777777777782</v>
      </c>
      <c r="K13" s="9">
        <f t="shared" si="0"/>
        <v>1.3222222222222222</v>
      </c>
      <c r="L13" s="9">
        <f t="shared" si="0"/>
        <v>59.622222222222227</v>
      </c>
      <c r="M13" s="7">
        <f t="shared" si="0"/>
        <v>25</v>
      </c>
      <c r="N13" s="9">
        <f t="shared" si="0"/>
        <v>10.622222222222222</v>
      </c>
      <c r="O13" s="9">
        <f t="shared" si="0"/>
        <v>11.033333333333335</v>
      </c>
      <c r="P13" s="9">
        <f t="shared" si="0"/>
        <v>6.9777777777777779</v>
      </c>
      <c r="Q13" s="9">
        <f t="shared" si="0"/>
        <v>6.1333333333333329</v>
      </c>
      <c r="R13" s="9">
        <f t="shared" si="0"/>
        <v>11.1</v>
      </c>
      <c r="S13" s="9">
        <f t="shared" si="0"/>
        <v>4.155555555555555</v>
      </c>
    </row>
    <row r="14" spans="1:22" x14ac:dyDescent="0.3">
      <c r="B14" s="1" t="s">
        <v>51</v>
      </c>
      <c r="G14" s="9">
        <f t="shared" ref="G14:S14" si="1">MIN(G4:G12)</f>
        <v>11.5</v>
      </c>
      <c r="H14" s="9">
        <f t="shared" si="1"/>
        <v>7</v>
      </c>
      <c r="I14" s="9">
        <f t="shared" si="1"/>
        <v>1.6</v>
      </c>
      <c r="J14" s="9">
        <f t="shared" si="1"/>
        <v>3.2</v>
      </c>
      <c r="K14" s="9">
        <f t="shared" si="1"/>
        <v>1.3</v>
      </c>
      <c r="L14" s="9">
        <f t="shared" si="1"/>
        <v>58.7</v>
      </c>
      <c r="M14" s="7">
        <f t="shared" si="1"/>
        <v>25</v>
      </c>
      <c r="N14" s="9">
        <f t="shared" si="1"/>
        <v>8.4</v>
      </c>
      <c r="O14" s="9">
        <f t="shared" si="1"/>
        <v>8.5</v>
      </c>
      <c r="P14" s="9">
        <f t="shared" si="1"/>
        <v>5.5</v>
      </c>
      <c r="Q14" s="9">
        <f t="shared" si="1"/>
        <v>4.8</v>
      </c>
      <c r="R14" s="9">
        <f t="shared" si="1"/>
        <v>11.1</v>
      </c>
      <c r="S14" s="9">
        <f t="shared" si="1"/>
        <v>3</v>
      </c>
    </row>
    <row r="15" spans="1:22" x14ac:dyDescent="0.3">
      <c r="B15" s="1" t="s">
        <v>52</v>
      </c>
      <c r="G15" s="9">
        <f t="shared" ref="G15:S15" si="2">MAX(G4:G12)</f>
        <v>11.6</v>
      </c>
      <c r="H15" s="9">
        <f t="shared" si="2"/>
        <v>8.1</v>
      </c>
      <c r="I15" s="9">
        <f t="shared" si="2"/>
        <v>1.8</v>
      </c>
      <c r="J15" s="9">
        <f t="shared" si="2"/>
        <v>3.5</v>
      </c>
      <c r="K15" s="9">
        <f t="shared" si="2"/>
        <v>1.4</v>
      </c>
      <c r="L15" s="9">
        <f t="shared" si="2"/>
        <v>60.4</v>
      </c>
      <c r="M15" s="7">
        <f t="shared" si="2"/>
        <v>25</v>
      </c>
      <c r="N15" s="9">
        <f t="shared" si="2"/>
        <v>14</v>
      </c>
      <c r="O15" s="9">
        <f t="shared" si="2"/>
        <v>14.8</v>
      </c>
      <c r="P15" s="9">
        <f t="shared" si="2"/>
        <v>8.6</v>
      </c>
      <c r="Q15" s="9">
        <f t="shared" si="2"/>
        <v>7</v>
      </c>
      <c r="R15" s="9">
        <f t="shared" si="2"/>
        <v>11.1</v>
      </c>
      <c r="S15" s="9">
        <f t="shared" si="2"/>
        <v>6.1</v>
      </c>
    </row>
    <row r="16" spans="1:22" x14ac:dyDescent="0.3">
      <c r="B16" s="1" t="s">
        <v>53</v>
      </c>
      <c r="G16" s="9">
        <f t="shared" ref="G16:S16" si="3">STDEV(G4:G12)</f>
        <v>4.4095855184409685E-2</v>
      </c>
      <c r="H16" s="9">
        <f t="shared" si="3"/>
        <v>0.40311288741492757</v>
      </c>
      <c r="I16" s="9">
        <f t="shared" si="3"/>
        <v>4.9999999999999989E-2</v>
      </c>
      <c r="J16" s="9">
        <f t="shared" si="3"/>
        <v>0.13017082793177753</v>
      </c>
      <c r="K16" s="9">
        <f t="shared" si="3"/>
        <v>4.4095855184409782E-2</v>
      </c>
      <c r="L16" s="9">
        <f t="shared" si="3"/>
        <v>0.47638686426521459</v>
      </c>
      <c r="M16" s="7">
        <f t="shared" si="3"/>
        <v>0</v>
      </c>
      <c r="N16" s="9">
        <f t="shared" si="3"/>
        <v>2.3145073869928461</v>
      </c>
      <c r="O16" s="9">
        <f t="shared" si="3"/>
        <v>2.5139610179953</v>
      </c>
      <c r="P16" s="9">
        <f t="shared" si="3"/>
        <v>1.0814085465005556</v>
      </c>
      <c r="Q16" s="9">
        <f t="shared" si="3"/>
        <v>0.68190908484930046</v>
      </c>
      <c r="R16" s="9" t="e">
        <f t="shared" si="3"/>
        <v>#DIV/0!</v>
      </c>
      <c r="S16" s="9">
        <f t="shared" si="3"/>
        <v>1.2340088240275215</v>
      </c>
    </row>
    <row r="18" spans="2:19" x14ac:dyDescent="0.3">
      <c r="B18" s="1" t="s">
        <v>54</v>
      </c>
      <c r="G18" s="9" t="s">
        <v>55</v>
      </c>
      <c r="H18" s="9" t="s">
        <v>55</v>
      </c>
      <c r="I18" s="9" t="s">
        <v>55</v>
      </c>
      <c r="J18" s="9" t="s">
        <v>55</v>
      </c>
      <c r="K18" s="9" t="s">
        <v>55</v>
      </c>
      <c r="L18" s="9" t="s">
        <v>55</v>
      </c>
      <c r="M18" s="7" t="s">
        <v>55</v>
      </c>
      <c r="N18" s="9" t="s">
        <v>55</v>
      </c>
      <c r="O18" s="9" t="s">
        <v>55</v>
      </c>
      <c r="P18" s="9" t="s">
        <v>55</v>
      </c>
      <c r="Q18" s="9" t="s">
        <v>55</v>
      </c>
      <c r="R18" s="9" t="s">
        <v>55</v>
      </c>
      <c r="S18" s="9" t="s">
        <v>55</v>
      </c>
    </row>
  </sheetData>
  <autoFilter ref="A3:V16" xr:uid="{F38D893D-05FB-4C22-9DC7-6E1EF0893116}">
    <filterColumn colId="4">
      <filters blank="1">
        <filter val="L1.2 LB"/>
        <filter val="L2.2 LB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A554-CF2A-49F8-9B03-871DD9F0A6CD}">
  <sheetPr filterMode="1"/>
  <dimension ref="A1:X18"/>
  <sheetViews>
    <sheetView workbookViewId="0">
      <selection activeCell="A3" sqref="A3:XFD3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12" customWidth="1"/>
    <col min="4" max="4" width="14.77734375" bestFit="1" customWidth="1"/>
    <col min="7" max="21" width="11.6640625" bestFit="1" customWidth="1"/>
    <col min="22" max="23" width="17.88671875" bestFit="1" customWidth="1"/>
    <col min="24" max="24" width="11.6640625" bestFit="1" customWidth="1"/>
  </cols>
  <sheetData>
    <row r="1" spans="1:24" s="1" customFormat="1" ht="13.8" x14ac:dyDescent="0.25">
      <c r="A1" s="1" t="s">
        <v>0</v>
      </c>
    </row>
    <row r="3" spans="1:24" x14ac:dyDescent="0.3">
      <c r="A3" s="2" t="s">
        <v>1</v>
      </c>
      <c r="B3" s="2" t="s">
        <v>94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57</v>
      </c>
      <c r="H3" s="2" t="s">
        <v>58</v>
      </c>
      <c r="I3" s="2" t="s">
        <v>59</v>
      </c>
      <c r="J3" s="2" t="s">
        <v>61</v>
      </c>
      <c r="K3" s="2" t="s">
        <v>62</v>
      </c>
      <c r="L3" s="2" t="s">
        <v>80</v>
      </c>
      <c r="M3" s="2" t="s">
        <v>95</v>
      </c>
      <c r="N3" s="2" t="s">
        <v>7</v>
      </c>
      <c r="O3" s="2" t="s">
        <v>63</v>
      </c>
      <c r="P3" s="2" t="s">
        <v>64</v>
      </c>
      <c r="Q3" s="2" t="s">
        <v>65</v>
      </c>
      <c r="R3" s="2" t="s">
        <v>67</v>
      </c>
      <c r="S3" s="2" t="s">
        <v>68</v>
      </c>
      <c r="T3" s="2" t="s">
        <v>82</v>
      </c>
      <c r="U3" s="2" t="s">
        <v>96</v>
      </c>
      <c r="V3" s="2" t="s">
        <v>9</v>
      </c>
      <c r="W3" s="2" t="s">
        <v>10</v>
      </c>
      <c r="X3" s="2" t="s">
        <v>11</v>
      </c>
    </row>
    <row r="4" spans="1:24" hidden="1" x14ac:dyDescent="0.3">
      <c r="A4" s="2">
        <v>46</v>
      </c>
      <c r="B4" t="s">
        <v>97</v>
      </c>
      <c r="C4" t="s">
        <v>13</v>
      </c>
      <c r="D4" t="s">
        <v>98</v>
      </c>
      <c r="E4" t="s">
        <v>15</v>
      </c>
      <c r="F4" t="s">
        <v>94</v>
      </c>
      <c r="G4" s="8">
        <v>13.4</v>
      </c>
      <c r="H4" s="8">
        <v>6</v>
      </c>
      <c r="I4" s="8">
        <v>3.2</v>
      </c>
      <c r="J4" s="8">
        <v>2.7</v>
      </c>
      <c r="K4" s="10">
        <v>0.78</v>
      </c>
      <c r="L4" s="8">
        <v>70.599999999999994</v>
      </c>
      <c r="M4" s="3">
        <v>0.53800000000000003</v>
      </c>
      <c r="N4" s="3">
        <v>25</v>
      </c>
      <c r="O4" s="8">
        <v>40.200000000000003</v>
      </c>
      <c r="P4" s="8">
        <v>21.8</v>
      </c>
      <c r="Q4" s="8">
        <v>12.6</v>
      </c>
      <c r="R4" s="8">
        <v>5.6</v>
      </c>
      <c r="S4" s="4" t="s">
        <v>99</v>
      </c>
      <c r="T4" s="8">
        <v>18.7</v>
      </c>
      <c r="U4" s="8">
        <v>3</v>
      </c>
      <c r="V4" s="5">
        <v>45988.434444444443</v>
      </c>
      <c r="W4" s="5">
        <v>45988.434606481482</v>
      </c>
      <c r="X4" s="6">
        <v>1.6203703125938773E-4</v>
      </c>
    </row>
    <row r="5" spans="1:24" hidden="1" x14ac:dyDescent="0.3">
      <c r="A5" s="2">
        <v>47</v>
      </c>
      <c r="B5" t="s">
        <v>100</v>
      </c>
      <c r="C5" t="s">
        <v>13</v>
      </c>
      <c r="D5" t="s">
        <v>98</v>
      </c>
      <c r="E5" t="s">
        <v>15</v>
      </c>
      <c r="F5" t="s">
        <v>94</v>
      </c>
      <c r="G5" s="8">
        <v>13</v>
      </c>
      <c r="H5" s="8">
        <v>6.2</v>
      </c>
      <c r="I5" s="8">
        <v>3.2</v>
      </c>
      <c r="J5" s="8">
        <v>2.7</v>
      </c>
      <c r="K5" s="10">
        <v>0.78</v>
      </c>
      <c r="L5" s="8">
        <v>71.3</v>
      </c>
      <c r="M5" s="3">
        <v>0.53300000000000003</v>
      </c>
      <c r="N5" s="3">
        <v>25</v>
      </c>
      <c r="O5" s="8">
        <v>33.6</v>
      </c>
      <c r="P5" s="8">
        <v>23.2</v>
      </c>
      <c r="Q5" s="8">
        <v>13</v>
      </c>
      <c r="R5" s="8">
        <v>4.8</v>
      </c>
      <c r="S5" s="4" t="s">
        <v>99</v>
      </c>
      <c r="T5" s="8">
        <v>23.1</v>
      </c>
      <c r="U5" s="8">
        <v>3.8</v>
      </c>
      <c r="V5" s="5">
        <v>45988.434733796297</v>
      </c>
      <c r="W5" s="5">
        <v>45988.434849537036</v>
      </c>
      <c r="X5" s="6">
        <v>1.1574075324460864E-4</v>
      </c>
    </row>
    <row r="6" spans="1:24" hidden="1" x14ac:dyDescent="0.3">
      <c r="A6" s="2">
        <v>48</v>
      </c>
      <c r="B6" t="s">
        <v>101</v>
      </c>
      <c r="C6" t="s">
        <v>13</v>
      </c>
      <c r="D6" t="s">
        <v>98</v>
      </c>
      <c r="E6" t="s">
        <v>15</v>
      </c>
      <c r="F6" t="s">
        <v>94</v>
      </c>
      <c r="G6" s="8">
        <v>13.2</v>
      </c>
      <c r="H6" s="8">
        <v>6.1</v>
      </c>
      <c r="I6" s="8">
        <v>3.2</v>
      </c>
      <c r="J6" s="8">
        <v>2.7</v>
      </c>
      <c r="K6" s="10">
        <v>0.79</v>
      </c>
      <c r="L6" s="8">
        <v>70.8</v>
      </c>
      <c r="M6" s="3">
        <v>0.54500000000000004</v>
      </c>
      <c r="N6" s="3">
        <v>25</v>
      </c>
      <c r="O6" s="8">
        <v>36.799999999999997</v>
      </c>
      <c r="P6" s="8">
        <v>21.6</v>
      </c>
      <c r="Q6" s="8">
        <v>12.4</v>
      </c>
      <c r="R6" s="8">
        <v>5.5</v>
      </c>
      <c r="S6" s="4" t="s">
        <v>99</v>
      </c>
      <c r="T6" s="8">
        <v>19.399999999999999</v>
      </c>
      <c r="U6" s="8">
        <v>3.9</v>
      </c>
      <c r="V6" s="5">
        <v>45988.435011574074</v>
      </c>
      <c r="W6" s="5">
        <v>45988.435173611113</v>
      </c>
      <c r="X6" s="6">
        <v>1.6203703125938773E-4</v>
      </c>
    </row>
    <row r="7" spans="1:24" x14ac:dyDescent="0.3">
      <c r="A7" s="2">
        <v>49</v>
      </c>
      <c r="B7" t="s">
        <v>102</v>
      </c>
      <c r="C7" t="s">
        <v>13</v>
      </c>
      <c r="D7" t="s">
        <v>98</v>
      </c>
      <c r="E7" t="s">
        <v>29</v>
      </c>
      <c r="F7" t="s">
        <v>94</v>
      </c>
      <c r="G7" s="8">
        <v>12.5</v>
      </c>
      <c r="H7" s="8">
        <v>6.8</v>
      </c>
      <c r="I7" s="8">
        <v>3.9</v>
      </c>
      <c r="J7" s="8">
        <v>2.8</v>
      </c>
      <c r="K7" s="10">
        <v>0.89</v>
      </c>
      <c r="L7" s="8">
        <v>68.8</v>
      </c>
      <c r="M7" s="3">
        <v>0.51900000000000002</v>
      </c>
      <c r="N7" s="3">
        <v>25</v>
      </c>
      <c r="O7" s="8">
        <v>20.2</v>
      </c>
      <c r="P7" s="8">
        <v>11.2</v>
      </c>
      <c r="Q7" s="8">
        <v>8.8000000000000007</v>
      </c>
      <c r="R7" s="8">
        <v>5.7</v>
      </c>
      <c r="S7" s="8">
        <v>14</v>
      </c>
      <c r="T7" s="8">
        <v>9.5</v>
      </c>
      <c r="U7" s="8">
        <v>3.6</v>
      </c>
      <c r="V7" s="5">
        <v>45988.700277777774</v>
      </c>
      <c r="W7" s="5">
        <v>45988.700439814813</v>
      </c>
      <c r="X7" s="6">
        <v>1.6203703125938773E-4</v>
      </c>
    </row>
    <row r="8" spans="1:24" x14ac:dyDescent="0.3">
      <c r="A8" s="2">
        <v>50</v>
      </c>
      <c r="B8" t="s">
        <v>103</v>
      </c>
      <c r="C8" t="s">
        <v>13</v>
      </c>
      <c r="D8" t="s">
        <v>98</v>
      </c>
      <c r="E8" t="s">
        <v>29</v>
      </c>
      <c r="F8" t="s">
        <v>94</v>
      </c>
      <c r="G8" s="8">
        <v>12.5</v>
      </c>
      <c r="H8" s="8">
        <v>6.7</v>
      </c>
      <c r="I8" s="8">
        <v>3.8</v>
      </c>
      <c r="J8" s="8">
        <v>2.8</v>
      </c>
      <c r="K8" s="10">
        <v>0.88</v>
      </c>
      <c r="L8" s="8">
        <v>69</v>
      </c>
      <c r="M8" s="3">
        <v>0.53800000000000003</v>
      </c>
      <c r="N8" s="3">
        <v>25</v>
      </c>
      <c r="O8" s="8">
        <v>18.899999999999999</v>
      </c>
      <c r="P8" s="8">
        <v>11.2</v>
      </c>
      <c r="Q8" s="8">
        <v>10.4</v>
      </c>
      <c r="R8" s="8">
        <v>6</v>
      </c>
      <c r="S8" s="8">
        <v>14.3</v>
      </c>
      <c r="T8" s="8">
        <v>9.5</v>
      </c>
      <c r="U8" s="8">
        <v>2.8</v>
      </c>
      <c r="V8" s="5">
        <v>45988.700578703705</v>
      </c>
      <c r="W8" s="5">
        <v>45988.700694444444</v>
      </c>
      <c r="X8" s="6">
        <v>1.1574075324460864E-4</v>
      </c>
    </row>
    <row r="9" spans="1:24" x14ac:dyDescent="0.3">
      <c r="A9" s="2">
        <v>51</v>
      </c>
      <c r="B9" t="s">
        <v>104</v>
      </c>
      <c r="C9" t="s">
        <v>13</v>
      </c>
      <c r="D9" t="s">
        <v>98</v>
      </c>
      <c r="E9" t="s">
        <v>29</v>
      </c>
      <c r="F9" t="s">
        <v>94</v>
      </c>
      <c r="G9" s="8">
        <v>12.7</v>
      </c>
      <c r="H9" s="8">
        <v>6.5</v>
      </c>
      <c r="I9" s="8">
        <v>3.8</v>
      </c>
      <c r="J9" s="8">
        <v>2.8</v>
      </c>
      <c r="K9" s="10">
        <v>0.87</v>
      </c>
      <c r="L9" s="8">
        <v>69.099999999999994</v>
      </c>
      <c r="M9" s="3">
        <v>0.53700000000000003</v>
      </c>
      <c r="N9" s="3">
        <v>25</v>
      </c>
      <c r="O9" s="8">
        <v>21.3</v>
      </c>
      <c r="P9" s="8">
        <v>11.8</v>
      </c>
      <c r="Q9" s="8">
        <v>10</v>
      </c>
      <c r="R9" s="8">
        <v>5.9</v>
      </c>
      <c r="S9" s="8">
        <v>15.3</v>
      </c>
      <c r="T9" s="8">
        <v>10</v>
      </c>
      <c r="U9" s="8">
        <v>3.1</v>
      </c>
      <c r="V9" s="5">
        <v>45988.700856481482</v>
      </c>
      <c r="W9" s="5">
        <v>45988.701053240744</v>
      </c>
      <c r="X9" s="6">
        <v>2.0833333837799728E-4</v>
      </c>
    </row>
    <row r="10" spans="1:24" x14ac:dyDescent="0.3">
      <c r="A10" s="2">
        <v>52</v>
      </c>
      <c r="B10" t="s">
        <v>105</v>
      </c>
      <c r="C10" t="s">
        <v>13</v>
      </c>
      <c r="D10" t="s">
        <v>98</v>
      </c>
      <c r="E10" t="s">
        <v>33</v>
      </c>
      <c r="F10" t="s">
        <v>94</v>
      </c>
      <c r="G10" s="8">
        <v>12.9</v>
      </c>
      <c r="H10" s="8">
        <v>6.3</v>
      </c>
      <c r="I10" s="8">
        <v>3.9</v>
      </c>
      <c r="J10" s="8">
        <v>2.8</v>
      </c>
      <c r="K10" s="10">
        <v>0.9</v>
      </c>
      <c r="L10" s="8">
        <v>68.5</v>
      </c>
      <c r="M10" s="3">
        <v>0.54300000000000004</v>
      </c>
      <c r="N10" s="3">
        <v>25</v>
      </c>
      <c r="O10" s="8">
        <v>23</v>
      </c>
      <c r="P10" s="8">
        <v>10.9</v>
      </c>
      <c r="Q10" s="8">
        <v>10.7</v>
      </c>
      <c r="R10" s="8">
        <v>6</v>
      </c>
      <c r="S10" s="8">
        <v>13.1</v>
      </c>
      <c r="T10" s="8">
        <v>7.5</v>
      </c>
      <c r="U10" s="8">
        <v>3.3</v>
      </c>
      <c r="V10" s="5">
        <v>45988.707592592589</v>
      </c>
      <c r="W10" s="5">
        <v>45988.707719907405</v>
      </c>
      <c r="X10" s="6">
        <v>1.1574075324460864E-4</v>
      </c>
    </row>
    <row r="11" spans="1:24" x14ac:dyDescent="0.3">
      <c r="A11" s="2">
        <v>53</v>
      </c>
      <c r="B11" t="s">
        <v>106</v>
      </c>
      <c r="C11" t="s">
        <v>13</v>
      </c>
      <c r="D11" t="s">
        <v>98</v>
      </c>
      <c r="E11" t="s">
        <v>33</v>
      </c>
      <c r="F11" t="s">
        <v>94</v>
      </c>
      <c r="G11" s="8">
        <v>12.7</v>
      </c>
      <c r="H11" s="8">
        <v>6.6</v>
      </c>
      <c r="I11" s="8">
        <v>3.9</v>
      </c>
      <c r="J11" s="8">
        <v>2.8</v>
      </c>
      <c r="K11" s="10">
        <v>0.91</v>
      </c>
      <c r="L11" s="8">
        <v>69.599999999999994</v>
      </c>
      <c r="M11" s="3">
        <v>0.54200000000000004</v>
      </c>
      <c r="N11" s="3">
        <v>25</v>
      </c>
      <c r="O11" s="8">
        <v>21.1</v>
      </c>
      <c r="P11" s="8">
        <v>13.7</v>
      </c>
      <c r="Q11" s="8">
        <v>12.6</v>
      </c>
      <c r="R11" s="8">
        <v>6.4</v>
      </c>
      <c r="S11" s="8">
        <v>15.7</v>
      </c>
      <c r="T11" s="8">
        <v>12</v>
      </c>
      <c r="U11" s="8">
        <v>3.2</v>
      </c>
      <c r="V11" s="5">
        <v>45988.707870370374</v>
      </c>
      <c r="W11" s="5">
        <v>45988.708032407405</v>
      </c>
      <c r="X11" s="6">
        <v>1.6203703125938773E-4</v>
      </c>
    </row>
    <row r="12" spans="1:24" x14ac:dyDescent="0.3">
      <c r="A12" s="2">
        <v>54</v>
      </c>
      <c r="B12" t="s">
        <v>107</v>
      </c>
      <c r="C12" t="s">
        <v>13</v>
      </c>
      <c r="D12" t="s">
        <v>98</v>
      </c>
      <c r="E12" t="s">
        <v>33</v>
      </c>
      <c r="F12" t="s">
        <v>94</v>
      </c>
      <c r="G12" s="8">
        <v>12.8</v>
      </c>
      <c r="H12" s="8">
        <v>6.5</v>
      </c>
      <c r="I12" s="8">
        <v>3.5</v>
      </c>
      <c r="J12" s="8">
        <v>2.8</v>
      </c>
      <c r="K12" s="10">
        <v>0.86</v>
      </c>
      <c r="L12" s="8">
        <v>69.8</v>
      </c>
      <c r="M12" s="3">
        <v>0.55300000000000005</v>
      </c>
      <c r="N12" s="3">
        <v>25</v>
      </c>
      <c r="O12" s="8">
        <v>19.899999999999999</v>
      </c>
      <c r="P12" s="8">
        <v>13.3</v>
      </c>
      <c r="Q12" s="8">
        <v>8.9</v>
      </c>
      <c r="R12" s="8">
        <v>6.4</v>
      </c>
      <c r="S12" s="8">
        <v>15.9</v>
      </c>
      <c r="T12" s="8">
        <v>12.8</v>
      </c>
      <c r="U12" s="8">
        <v>2.4</v>
      </c>
      <c r="V12" s="5">
        <v>45988.70815972222</v>
      </c>
      <c r="W12" s="5">
        <v>45988.708275462966</v>
      </c>
      <c r="X12" s="6">
        <v>1.1574075324460864E-4</v>
      </c>
    </row>
    <row r="13" spans="1:24" x14ac:dyDescent="0.3">
      <c r="B13" s="1" t="s">
        <v>50</v>
      </c>
      <c r="G13" s="9">
        <f t="shared" ref="G13:U13" si="0">AVERAGE(G4:G12)</f>
        <v>12.855555555555556</v>
      </c>
      <c r="H13" s="9">
        <f t="shared" si="0"/>
        <v>6.4111111111111105</v>
      </c>
      <c r="I13" s="9">
        <f t="shared" si="0"/>
        <v>3.5999999999999996</v>
      </c>
      <c r="J13" s="9">
        <f t="shared" si="0"/>
        <v>2.7666666666666675</v>
      </c>
      <c r="K13" s="11">
        <f t="shared" si="0"/>
        <v>0.85111111111111126</v>
      </c>
      <c r="L13" s="9">
        <f t="shared" si="0"/>
        <v>69.722222222222229</v>
      </c>
      <c r="M13" s="7">
        <f t="shared" si="0"/>
        <v>0.53866666666666663</v>
      </c>
      <c r="N13" s="7">
        <f t="shared" si="0"/>
        <v>25</v>
      </c>
      <c r="O13" s="9">
        <f t="shared" si="0"/>
        <v>26.111111111111114</v>
      </c>
      <c r="P13" s="9">
        <f t="shared" si="0"/>
        <v>15.411111111111113</v>
      </c>
      <c r="Q13" s="9">
        <f t="shared" si="0"/>
        <v>11.044444444444444</v>
      </c>
      <c r="R13" s="9">
        <f t="shared" si="0"/>
        <v>5.8111111111111109</v>
      </c>
      <c r="S13" s="9">
        <f t="shared" si="0"/>
        <v>14.716666666666669</v>
      </c>
      <c r="T13" s="9">
        <f t="shared" si="0"/>
        <v>13.611111111111109</v>
      </c>
      <c r="U13" s="9">
        <f t="shared" si="0"/>
        <v>3.2333333333333329</v>
      </c>
    </row>
    <row r="14" spans="1:24" x14ac:dyDescent="0.3">
      <c r="B14" s="1" t="s">
        <v>51</v>
      </c>
      <c r="G14" s="9">
        <f t="shared" ref="G14:U14" si="1">MIN(G4:G12)</f>
        <v>12.5</v>
      </c>
      <c r="H14" s="9">
        <f t="shared" si="1"/>
        <v>6</v>
      </c>
      <c r="I14" s="9">
        <f t="shared" si="1"/>
        <v>3.2</v>
      </c>
      <c r="J14" s="9">
        <f t="shared" si="1"/>
        <v>2.7</v>
      </c>
      <c r="K14" s="11">
        <f t="shared" si="1"/>
        <v>0.78</v>
      </c>
      <c r="L14" s="9">
        <f t="shared" si="1"/>
        <v>68.5</v>
      </c>
      <c r="M14" s="7">
        <f t="shared" si="1"/>
        <v>0.51900000000000002</v>
      </c>
      <c r="N14" s="7">
        <f t="shared" si="1"/>
        <v>25</v>
      </c>
      <c r="O14" s="9">
        <f t="shared" si="1"/>
        <v>18.899999999999999</v>
      </c>
      <c r="P14" s="9">
        <f t="shared" si="1"/>
        <v>10.9</v>
      </c>
      <c r="Q14" s="9">
        <f t="shared" si="1"/>
        <v>8.8000000000000007</v>
      </c>
      <c r="R14" s="9">
        <f t="shared" si="1"/>
        <v>4.8</v>
      </c>
      <c r="S14" s="9">
        <f t="shared" si="1"/>
        <v>13.1</v>
      </c>
      <c r="T14" s="9">
        <f t="shared" si="1"/>
        <v>7.5</v>
      </c>
      <c r="U14" s="9">
        <f t="shared" si="1"/>
        <v>2.4</v>
      </c>
    </row>
    <row r="15" spans="1:24" x14ac:dyDescent="0.3">
      <c r="B15" s="1" t="s">
        <v>52</v>
      </c>
      <c r="G15" s="9">
        <f t="shared" ref="G15:U15" si="2">MAX(G4:G12)</f>
        <v>13.4</v>
      </c>
      <c r="H15" s="9">
        <f t="shared" si="2"/>
        <v>6.8</v>
      </c>
      <c r="I15" s="9">
        <f t="shared" si="2"/>
        <v>3.9</v>
      </c>
      <c r="J15" s="9">
        <f t="shared" si="2"/>
        <v>2.8</v>
      </c>
      <c r="K15" s="11">
        <f t="shared" si="2"/>
        <v>0.91</v>
      </c>
      <c r="L15" s="9">
        <f t="shared" si="2"/>
        <v>71.3</v>
      </c>
      <c r="M15" s="7">
        <f t="shared" si="2"/>
        <v>0.55300000000000005</v>
      </c>
      <c r="N15" s="7">
        <f t="shared" si="2"/>
        <v>25</v>
      </c>
      <c r="O15" s="9">
        <f t="shared" si="2"/>
        <v>40.200000000000003</v>
      </c>
      <c r="P15" s="9">
        <f t="shared" si="2"/>
        <v>23.2</v>
      </c>
      <c r="Q15" s="9">
        <f t="shared" si="2"/>
        <v>13</v>
      </c>
      <c r="R15" s="9">
        <f t="shared" si="2"/>
        <v>6.4</v>
      </c>
      <c r="S15" s="9">
        <f t="shared" si="2"/>
        <v>15.9</v>
      </c>
      <c r="T15" s="9">
        <f t="shared" si="2"/>
        <v>23.1</v>
      </c>
      <c r="U15" s="9">
        <f t="shared" si="2"/>
        <v>3.9</v>
      </c>
    </row>
    <row r="16" spans="1:24" x14ac:dyDescent="0.3">
      <c r="B16" s="1" t="s">
        <v>53</v>
      </c>
      <c r="G16" s="9">
        <f t="shared" ref="G16:U16" si="3">STDEV(G4:G12)</f>
        <v>0.30459444804161784</v>
      </c>
      <c r="H16" s="9">
        <f t="shared" si="3"/>
        <v>0.27588242262078083</v>
      </c>
      <c r="I16" s="9">
        <f t="shared" si="3"/>
        <v>0.32403703492039287</v>
      </c>
      <c r="J16" s="9">
        <f t="shared" si="3"/>
        <v>4.9999999999999829E-2</v>
      </c>
      <c r="K16" s="11">
        <f t="shared" si="3"/>
        <v>5.3019912401956214E-2</v>
      </c>
      <c r="L16" s="9">
        <f t="shared" si="3"/>
        <v>0.98078766532029915</v>
      </c>
      <c r="M16" s="7">
        <f t="shared" si="3"/>
        <v>9.3407708461347109E-3</v>
      </c>
      <c r="N16" s="7">
        <f t="shared" si="3"/>
        <v>0</v>
      </c>
      <c r="O16" s="9">
        <f t="shared" si="3"/>
        <v>8.3087972120584901</v>
      </c>
      <c r="P16" s="9">
        <f t="shared" si="3"/>
        <v>5.1964998904176847</v>
      </c>
      <c r="Q16" s="9">
        <f t="shared" si="3"/>
        <v>1.6493264618558072</v>
      </c>
      <c r="R16" s="9">
        <f t="shared" si="3"/>
        <v>0.49356976316536172</v>
      </c>
      <c r="S16" s="9">
        <f t="shared" si="3"/>
        <v>1.0962055768270234</v>
      </c>
      <c r="T16" s="9">
        <f t="shared" si="3"/>
        <v>5.4416092391048414</v>
      </c>
      <c r="U16" s="9">
        <f t="shared" si="3"/>
        <v>0.48218253804965133</v>
      </c>
    </row>
    <row r="18" spans="2:21" x14ac:dyDescent="0.3">
      <c r="B18" s="1" t="s">
        <v>54</v>
      </c>
      <c r="G18" s="9" t="s">
        <v>55</v>
      </c>
      <c r="H18" s="9" t="s">
        <v>55</v>
      </c>
      <c r="I18" s="9" t="s">
        <v>55</v>
      </c>
      <c r="J18" s="9" t="s">
        <v>55</v>
      </c>
      <c r="K18" s="11" t="s">
        <v>55</v>
      </c>
      <c r="L18" s="9" t="s">
        <v>55</v>
      </c>
      <c r="M18" s="7" t="s">
        <v>55</v>
      </c>
      <c r="N18" s="7" t="s">
        <v>55</v>
      </c>
      <c r="O18" s="9" t="s">
        <v>55</v>
      </c>
      <c r="P18" s="9" t="s">
        <v>55</v>
      </c>
      <c r="Q18" s="9" t="s">
        <v>55</v>
      </c>
      <c r="R18" s="9" t="s">
        <v>55</v>
      </c>
      <c r="S18" s="9" t="s">
        <v>55</v>
      </c>
      <c r="T18" s="9" t="s">
        <v>55</v>
      </c>
      <c r="U18" s="9" t="s">
        <v>55</v>
      </c>
    </row>
  </sheetData>
  <autoFilter ref="A3:X16" xr:uid="{0AC9A554-CF2A-49F8-9B03-871DD9F0A6CD}">
    <filterColumn colId="4">
      <filters blank="1">
        <filter val="L1.2 LB"/>
        <filter val="L2.2 LB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CC90-9E61-4340-AC7D-1E5CACDA97A1}">
  <sheetPr filterMode="1"/>
  <dimension ref="A1:T19"/>
  <sheetViews>
    <sheetView workbookViewId="0">
      <selection activeCell="A3" sqref="A3:XFD3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17" width="11.6640625" bestFit="1" customWidth="1"/>
    <col min="18" max="19" width="17.88671875" bestFit="1" customWidth="1"/>
    <col min="20" max="20" width="11.6640625" bestFit="1" customWidth="1"/>
  </cols>
  <sheetData>
    <row r="1" spans="1:20" s="1" customFormat="1" ht="13.8" x14ac:dyDescent="0.25">
      <c r="A1" s="1" t="s">
        <v>0</v>
      </c>
    </row>
    <row r="3" spans="1:20" x14ac:dyDescent="0.3">
      <c r="A3" s="2" t="s">
        <v>1</v>
      </c>
      <c r="B3" s="2" t="s">
        <v>108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57</v>
      </c>
      <c r="H3" s="2" t="s">
        <v>58</v>
      </c>
      <c r="I3" s="2" t="s">
        <v>109</v>
      </c>
      <c r="J3" s="2" t="s">
        <v>61</v>
      </c>
      <c r="K3" s="2" t="s">
        <v>62</v>
      </c>
      <c r="L3" s="2" t="s">
        <v>7</v>
      </c>
      <c r="M3" s="2" t="s">
        <v>63</v>
      </c>
      <c r="N3" s="2" t="s">
        <v>64</v>
      </c>
      <c r="O3" s="2" t="s">
        <v>81</v>
      </c>
      <c r="P3" s="2" t="s">
        <v>67</v>
      </c>
      <c r="Q3" s="2" t="s">
        <v>68</v>
      </c>
      <c r="R3" s="2" t="s">
        <v>9</v>
      </c>
      <c r="S3" s="2" t="s">
        <v>10</v>
      </c>
      <c r="T3" s="2" t="s">
        <v>11</v>
      </c>
    </row>
    <row r="4" spans="1:20" hidden="1" x14ac:dyDescent="0.3">
      <c r="A4" s="2">
        <v>55</v>
      </c>
      <c r="B4" t="s">
        <v>110</v>
      </c>
      <c r="C4" t="s">
        <v>13</v>
      </c>
      <c r="D4" t="s">
        <v>111</v>
      </c>
      <c r="E4" t="s">
        <v>15</v>
      </c>
      <c r="F4" t="s">
        <v>108</v>
      </c>
      <c r="G4" s="8">
        <v>9.9</v>
      </c>
      <c r="H4" s="8">
        <v>46.2</v>
      </c>
      <c r="I4" s="8">
        <v>0.8</v>
      </c>
      <c r="J4" s="8">
        <v>5.9</v>
      </c>
      <c r="K4" s="10">
        <v>4.79</v>
      </c>
      <c r="L4" s="3">
        <v>25</v>
      </c>
      <c r="M4" s="8">
        <v>44.5</v>
      </c>
      <c r="N4" s="8">
        <v>27.9</v>
      </c>
      <c r="O4" s="4" t="s">
        <v>112</v>
      </c>
      <c r="P4" s="8">
        <v>12.5</v>
      </c>
      <c r="Q4" s="8">
        <v>23.7</v>
      </c>
      <c r="R4" s="5">
        <v>45988.43545138889</v>
      </c>
      <c r="S4" s="5">
        <v>45988.435601851852</v>
      </c>
      <c r="T4" s="6">
        <v>1.6203703125938773E-4</v>
      </c>
    </row>
    <row r="5" spans="1:20" hidden="1" x14ac:dyDescent="0.3">
      <c r="A5" s="2">
        <v>56</v>
      </c>
      <c r="B5" t="s">
        <v>113</v>
      </c>
      <c r="C5" t="s">
        <v>13</v>
      </c>
      <c r="D5" t="s">
        <v>111</v>
      </c>
      <c r="E5" t="s">
        <v>15</v>
      </c>
      <c r="F5" t="s">
        <v>108</v>
      </c>
      <c r="G5" s="8">
        <v>9.9</v>
      </c>
      <c r="H5" s="8">
        <v>46.2</v>
      </c>
      <c r="I5" s="8">
        <v>0.8</v>
      </c>
      <c r="J5" s="8">
        <v>6</v>
      </c>
      <c r="K5" s="10">
        <v>4.79</v>
      </c>
      <c r="L5" s="3">
        <v>25</v>
      </c>
      <c r="M5" s="8">
        <v>47</v>
      </c>
      <c r="N5" s="8">
        <v>29.5</v>
      </c>
      <c r="O5" s="4" t="s">
        <v>112</v>
      </c>
      <c r="P5" s="8">
        <v>13.6</v>
      </c>
      <c r="Q5" s="8">
        <v>25.2</v>
      </c>
      <c r="R5" s="5">
        <v>45988.435763888891</v>
      </c>
      <c r="S5" s="5">
        <v>45988.435914351852</v>
      </c>
      <c r="T5" s="6">
        <v>1.6203703125938773E-4</v>
      </c>
    </row>
    <row r="6" spans="1:20" hidden="1" x14ac:dyDescent="0.3">
      <c r="A6" s="2">
        <v>57</v>
      </c>
      <c r="B6" t="s">
        <v>114</v>
      </c>
      <c r="C6" t="s">
        <v>13</v>
      </c>
      <c r="D6" t="s">
        <v>111</v>
      </c>
      <c r="E6" t="s">
        <v>15</v>
      </c>
      <c r="F6" t="s">
        <v>108</v>
      </c>
      <c r="G6" s="8">
        <v>9.8000000000000007</v>
      </c>
      <c r="H6" s="8">
        <v>46.1</v>
      </c>
      <c r="I6" s="8">
        <v>0.9</v>
      </c>
      <c r="J6" s="8">
        <v>6.1</v>
      </c>
      <c r="K6" s="10">
        <v>4.82</v>
      </c>
      <c r="L6" s="3">
        <v>25</v>
      </c>
      <c r="M6" s="8">
        <v>46.4</v>
      </c>
      <c r="N6" s="8">
        <v>29.5</v>
      </c>
      <c r="O6" s="4" t="s">
        <v>112</v>
      </c>
      <c r="P6" s="8">
        <v>14.1</v>
      </c>
      <c r="Q6" s="8">
        <v>25.2</v>
      </c>
      <c r="R6" s="5">
        <v>45988.436064814814</v>
      </c>
      <c r="S6" s="5">
        <v>45988.436192129629</v>
      </c>
      <c r="T6" s="6">
        <v>1.1574075324460864E-4</v>
      </c>
    </row>
    <row r="7" spans="1:20" x14ac:dyDescent="0.3">
      <c r="A7" s="2">
        <v>58</v>
      </c>
      <c r="B7" t="s">
        <v>115</v>
      </c>
      <c r="C7" t="s">
        <v>13</v>
      </c>
      <c r="D7" t="s">
        <v>111</v>
      </c>
      <c r="E7" t="s">
        <v>29</v>
      </c>
      <c r="F7" t="s">
        <v>108</v>
      </c>
      <c r="G7" s="8">
        <v>9.8000000000000007</v>
      </c>
      <c r="H7" s="8">
        <v>47.1</v>
      </c>
      <c r="I7" s="8">
        <v>1.4</v>
      </c>
      <c r="J7" s="8">
        <v>5.4</v>
      </c>
      <c r="K7" s="10">
        <v>5.28</v>
      </c>
      <c r="L7" s="3">
        <v>25</v>
      </c>
      <c r="M7" s="8">
        <v>34.5</v>
      </c>
      <c r="N7" s="8">
        <v>18.5</v>
      </c>
      <c r="O7" s="8">
        <v>71.7</v>
      </c>
      <c r="P7" s="8">
        <v>11.9</v>
      </c>
      <c r="Q7" s="8">
        <v>17</v>
      </c>
      <c r="R7" s="5">
        <v>45988.69736111111</v>
      </c>
      <c r="S7" s="5">
        <v>45988.697604166664</v>
      </c>
      <c r="T7" s="6">
        <v>2.430555468890816E-4</v>
      </c>
    </row>
    <row r="8" spans="1:20" x14ac:dyDescent="0.3">
      <c r="A8" s="2">
        <v>59</v>
      </c>
      <c r="B8" t="s">
        <v>116</v>
      </c>
      <c r="C8" t="s">
        <v>13</v>
      </c>
      <c r="D8" t="s">
        <v>111</v>
      </c>
      <c r="E8" t="s">
        <v>29</v>
      </c>
      <c r="F8" t="s">
        <v>108</v>
      </c>
      <c r="G8" s="8">
        <v>9.8000000000000007</v>
      </c>
      <c r="H8" s="8">
        <v>47.1</v>
      </c>
      <c r="I8" s="8">
        <v>1.4</v>
      </c>
      <c r="J8" s="8">
        <v>5.4</v>
      </c>
      <c r="K8" s="10">
        <v>5.29</v>
      </c>
      <c r="L8" s="3">
        <v>25</v>
      </c>
      <c r="M8" s="8">
        <v>33.6</v>
      </c>
      <c r="N8" s="8">
        <v>17.600000000000001</v>
      </c>
      <c r="O8" s="8">
        <v>75.099999999999994</v>
      </c>
      <c r="P8" s="8">
        <v>12.3</v>
      </c>
      <c r="Q8" s="8">
        <v>16.3</v>
      </c>
      <c r="R8" s="5">
        <v>45988.697731481479</v>
      </c>
      <c r="S8" s="5">
        <v>45988.697893518518</v>
      </c>
      <c r="T8" s="6">
        <v>1.6203703125938773E-4</v>
      </c>
    </row>
    <row r="9" spans="1:20" x14ac:dyDescent="0.3">
      <c r="A9" s="2">
        <v>60</v>
      </c>
      <c r="B9" t="s">
        <v>117</v>
      </c>
      <c r="C9" t="s">
        <v>13</v>
      </c>
      <c r="D9" t="s">
        <v>111</v>
      </c>
      <c r="E9" t="s">
        <v>29</v>
      </c>
      <c r="F9" t="s">
        <v>108</v>
      </c>
      <c r="G9" s="8">
        <v>9.8000000000000007</v>
      </c>
      <c r="H9" s="8">
        <v>46.9</v>
      </c>
      <c r="I9" s="8">
        <v>1.3</v>
      </c>
      <c r="J9" s="8">
        <v>5.5</v>
      </c>
      <c r="K9" s="10">
        <v>5.34</v>
      </c>
      <c r="L9" s="3">
        <v>25</v>
      </c>
      <c r="M9" s="8">
        <v>32.6</v>
      </c>
      <c r="N9" s="8">
        <v>17.899999999999999</v>
      </c>
      <c r="O9" s="8">
        <v>76.3</v>
      </c>
      <c r="P9" s="8">
        <v>12.5</v>
      </c>
      <c r="Q9" s="8">
        <v>15.6</v>
      </c>
      <c r="R9" s="5">
        <v>45988.698055555556</v>
      </c>
      <c r="S9" s="5">
        <v>45988.698298611111</v>
      </c>
      <c r="T9" s="6">
        <v>2.430555468890816E-4</v>
      </c>
    </row>
    <row r="10" spans="1:20" x14ac:dyDescent="0.3">
      <c r="A10" s="2">
        <v>61</v>
      </c>
      <c r="B10" t="s">
        <v>118</v>
      </c>
      <c r="C10" t="s">
        <v>13</v>
      </c>
      <c r="D10" t="s">
        <v>111</v>
      </c>
      <c r="E10" t="s">
        <v>29</v>
      </c>
      <c r="F10" t="s">
        <v>108</v>
      </c>
      <c r="G10" s="8">
        <v>9.9</v>
      </c>
      <c r="H10" s="8">
        <v>47.2</v>
      </c>
      <c r="I10" s="8">
        <v>1.3</v>
      </c>
      <c r="J10" s="8">
        <v>5.5</v>
      </c>
      <c r="K10" s="10">
        <v>5.31</v>
      </c>
      <c r="L10" s="3">
        <v>25</v>
      </c>
      <c r="M10" s="8">
        <v>36</v>
      </c>
      <c r="N10" s="8">
        <v>20.5</v>
      </c>
      <c r="O10" s="8">
        <v>79.5</v>
      </c>
      <c r="P10" s="8">
        <v>13.8</v>
      </c>
      <c r="Q10" s="8">
        <v>17</v>
      </c>
      <c r="R10" s="5">
        <v>45988.698425925926</v>
      </c>
      <c r="S10" s="5">
        <v>45988.69866898148</v>
      </c>
      <c r="T10" s="6">
        <v>2.430555468890816E-4</v>
      </c>
    </row>
    <row r="11" spans="1:20" x14ac:dyDescent="0.3">
      <c r="A11" s="2">
        <v>62</v>
      </c>
      <c r="B11" t="s">
        <v>119</v>
      </c>
      <c r="C11" t="s">
        <v>13</v>
      </c>
      <c r="D11" t="s">
        <v>111</v>
      </c>
      <c r="E11" t="s">
        <v>33</v>
      </c>
      <c r="F11" t="s">
        <v>108</v>
      </c>
      <c r="G11" s="8">
        <v>9.6999999999999993</v>
      </c>
      <c r="H11" s="8">
        <v>47.1</v>
      </c>
      <c r="I11" s="8">
        <v>1.4</v>
      </c>
      <c r="J11" s="8">
        <v>5.3</v>
      </c>
      <c r="K11" s="10">
        <v>5.43</v>
      </c>
      <c r="L11" s="3">
        <v>25</v>
      </c>
      <c r="M11" s="8">
        <v>32.1</v>
      </c>
      <c r="N11" s="8">
        <v>16.8</v>
      </c>
      <c r="O11" s="8">
        <v>80.599999999999994</v>
      </c>
      <c r="P11" s="8">
        <v>9.6999999999999993</v>
      </c>
      <c r="Q11" s="8">
        <v>15.2</v>
      </c>
      <c r="R11" s="5">
        <v>45988.709479166668</v>
      </c>
      <c r="S11" s="5">
        <v>45988.709710648145</v>
      </c>
      <c r="T11" s="6">
        <v>2.430555468890816E-4</v>
      </c>
    </row>
    <row r="12" spans="1:20" x14ac:dyDescent="0.3">
      <c r="A12" s="2">
        <v>63</v>
      </c>
      <c r="B12" t="s">
        <v>120</v>
      </c>
      <c r="C12" t="s">
        <v>13</v>
      </c>
      <c r="D12" t="s">
        <v>111</v>
      </c>
      <c r="E12" t="s">
        <v>33</v>
      </c>
      <c r="F12" t="s">
        <v>108</v>
      </c>
      <c r="G12" s="8">
        <v>9.6999999999999993</v>
      </c>
      <c r="H12" s="8">
        <v>47.1</v>
      </c>
      <c r="I12" s="8">
        <v>1.4</v>
      </c>
      <c r="J12" s="8">
        <v>5.3</v>
      </c>
      <c r="K12" s="10">
        <v>5.48</v>
      </c>
      <c r="L12" s="3">
        <v>25</v>
      </c>
      <c r="M12" s="8">
        <v>31.5</v>
      </c>
      <c r="N12" s="8">
        <v>16.8</v>
      </c>
      <c r="O12" s="8">
        <v>78.099999999999994</v>
      </c>
      <c r="P12" s="8">
        <v>10</v>
      </c>
      <c r="Q12" s="8">
        <v>14.2</v>
      </c>
      <c r="R12" s="5">
        <v>45988.709837962961</v>
      </c>
      <c r="S12" s="5">
        <v>45988.71</v>
      </c>
      <c r="T12" s="6">
        <v>1.6203703125938773E-4</v>
      </c>
    </row>
    <row r="13" spans="1:20" x14ac:dyDescent="0.3">
      <c r="A13" s="2">
        <v>64</v>
      </c>
      <c r="B13" t="s">
        <v>121</v>
      </c>
      <c r="C13" t="s">
        <v>13</v>
      </c>
      <c r="D13" t="s">
        <v>111</v>
      </c>
      <c r="E13" t="s">
        <v>33</v>
      </c>
      <c r="F13" t="s">
        <v>108</v>
      </c>
      <c r="G13" s="8">
        <v>9.6999999999999993</v>
      </c>
      <c r="H13" s="8">
        <v>47.1</v>
      </c>
      <c r="I13" s="8">
        <v>1.4</v>
      </c>
      <c r="J13" s="8">
        <v>5.4</v>
      </c>
      <c r="K13" s="10">
        <v>5.46</v>
      </c>
      <c r="L13" s="3">
        <v>25</v>
      </c>
      <c r="M13" s="8">
        <v>33.200000000000003</v>
      </c>
      <c r="N13" s="8">
        <v>18.100000000000001</v>
      </c>
      <c r="O13" s="8">
        <v>80.5</v>
      </c>
      <c r="P13" s="8">
        <v>11</v>
      </c>
      <c r="Q13" s="8">
        <v>15.2</v>
      </c>
      <c r="R13" s="5">
        <v>45988.710173611114</v>
      </c>
      <c r="S13" s="5">
        <v>45988.710370370369</v>
      </c>
      <c r="T13" s="6">
        <v>1.9675926887430251E-4</v>
      </c>
    </row>
    <row r="14" spans="1:20" x14ac:dyDescent="0.3">
      <c r="B14" s="1" t="s">
        <v>50</v>
      </c>
      <c r="G14" s="9">
        <f t="shared" ref="G14:Q14" si="0">AVERAGE(G4:G13)</f>
        <v>9.8000000000000007</v>
      </c>
      <c r="H14" s="9">
        <f t="shared" si="0"/>
        <v>46.81</v>
      </c>
      <c r="I14" s="9">
        <f t="shared" si="0"/>
        <v>1.21</v>
      </c>
      <c r="J14" s="9">
        <f t="shared" si="0"/>
        <v>5.5799999999999992</v>
      </c>
      <c r="K14" s="11">
        <f t="shared" si="0"/>
        <v>5.1989999999999998</v>
      </c>
      <c r="L14" s="7">
        <f t="shared" si="0"/>
        <v>25</v>
      </c>
      <c r="M14" s="9">
        <f t="shared" si="0"/>
        <v>37.14</v>
      </c>
      <c r="N14" s="9">
        <f t="shared" si="0"/>
        <v>21.310000000000002</v>
      </c>
      <c r="O14" s="9">
        <f t="shared" si="0"/>
        <v>77.400000000000006</v>
      </c>
      <c r="P14" s="9">
        <f t="shared" si="0"/>
        <v>12.14</v>
      </c>
      <c r="Q14" s="9">
        <f t="shared" si="0"/>
        <v>18.459999999999997</v>
      </c>
    </row>
    <row r="15" spans="1:20" x14ac:dyDescent="0.3">
      <c r="B15" s="1" t="s">
        <v>51</v>
      </c>
      <c r="G15" s="9">
        <f t="shared" ref="G15:Q15" si="1">MIN(G4:G13)</f>
        <v>9.6999999999999993</v>
      </c>
      <c r="H15" s="9">
        <f t="shared" si="1"/>
        <v>46.1</v>
      </c>
      <c r="I15" s="9">
        <f t="shared" si="1"/>
        <v>0.8</v>
      </c>
      <c r="J15" s="9">
        <f t="shared" si="1"/>
        <v>5.3</v>
      </c>
      <c r="K15" s="11">
        <f t="shared" si="1"/>
        <v>4.79</v>
      </c>
      <c r="L15" s="7">
        <f t="shared" si="1"/>
        <v>25</v>
      </c>
      <c r="M15" s="9">
        <f t="shared" si="1"/>
        <v>31.5</v>
      </c>
      <c r="N15" s="9">
        <f t="shared" si="1"/>
        <v>16.8</v>
      </c>
      <c r="O15" s="9">
        <f t="shared" si="1"/>
        <v>71.7</v>
      </c>
      <c r="P15" s="9">
        <f t="shared" si="1"/>
        <v>9.6999999999999993</v>
      </c>
      <c r="Q15" s="9">
        <f t="shared" si="1"/>
        <v>14.2</v>
      </c>
    </row>
    <row r="16" spans="1:20" x14ac:dyDescent="0.3">
      <c r="B16" s="1" t="s">
        <v>52</v>
      </c>
      <c r="G16" s="9">
        <f t="shared" ref="G16:Q16" si="2">MAX(G4:G13)</f>
        <v>9.9</v>
      </c>
      <c r="H16" s="9">
        <f t="shared" si="2"/>
        <v>47.2</v>
      </c>
      <c r="I16" s="9">
        <f t="shared" si="2"/>
        <v>1.4</v>
      </c>
      <c r="J16" s="9">
        <f t="shared" si="2"/>
        <v>6.1</v>
      </c>
      <c r="K16" s="11">
        <f t="shared" si="2"/>
        <v>5.48</v>
      </c>
      <c r="L16" s="7">
        <f t="shared" si="2"/>
        <v>25</v>
      </c>
      <c r="M16" s="9">
        <f t="shared" si="2"/>
        <v>47</v>
      </c>
      <c r="N16" s="9">
        <f t="shared" si="2"/>
        <v>29.5</v>
      </c>
      <c r="O16" s="9">
        <f t="shared" si="2"/>
        <v>80.599999999999994</v>
      </c>
      <c r="P16" s="9">
        <f t="shared" si="2"/>
        <v>14.1</v>
      </c>
      <c r="Q16" s="9">
        <f t="shared" si="2"/>
        <v>25.2</v>
      </c>
    </row>
    <row r="17" spans="2:17" x14ac:dyDescent="0.3">
      <c r="B17" s="1" t="s">
        <v>53</v>
      </c>
      <c r="G17" s="9">
        <f t="shared" ref="G17:Q17" si="3">STDEV(G4:G13)</f>
        <v>8.1649658092773039E-2</v>
      </c>
      <c r="H17" s="9">
        <f t="shared" si="3"/>
        <v>0.45080175490144431</v>
      </c>
      <c r="I17" s="9">
        <f t="shared" si="3"/>
        <v>0.26436506745197758</v>
      </c>
      <c r="J17" s="9">
        <f t="shared" si="3"/>
        <v>0.30110906108363228</v>
      </c>
      <c r="K17" s="11">
        <f t="shared" si="3"/>
        <v>0.28395813462942421</v>
      </c>
      <c r="L17" s="7">
        <f t="shared" si="3"/>
        <v>0</v>
      </c>
      <c r="M17" s="9">
        <f t="shared" si="3"/>
        <v>6.2475239539801137</v>
      </c>
      <c r="N17" s="9">
        <f t="shared" si="3"/>
        <v>5.400709829889629</v>
      </c>
      <c r="O17" s="9">
        <f t="shared" si="3"/>
        <v>3.259345537578568</v>
      </c>
      <c r="P17" s="9">
        <f t="shared" si="3"/>
        <v>1.5240297459914181</v>
      </c>
      <c r="Q17" s="9">
        <f t="shared" si="3"/>
        <v>4.4073675690698861</v>
      </c>
    </row>
    <row r="19" spans="2:17" x14ac:dyDescent="0.3">
      <c r="B19" s="1" t="s">
        <v>54</v>
      </c>
      <c r="G19" s="9" t="s">
        <v>55</v>
      </c>
      <c r="H19" s="9" t="s">
        <v>55</v>
      </c>
      <c r="I19" s="9" t="s">
        <v>55</v>
      </c>
      <c r="J19" s="9" t="s">
        <v>55</v>
      </c>
      <c r="K19" s="11" t="s">
        <v>55</v>
      </c>
      <c r="L19" s="7" t="s">
        <v>55</v>
      </c>
      <c r="M19" s="9" t="s">
        <v>55</v>
      </c>
      <c r="N19" s="9" t="s">
        <v>55</v>
      </c>
      <c r="O19" s="9" t="s">
        <v>55</v>
      </c>
      <c r="P19" s="9" t="s">
        <v>55</v>
      </c>
      <c r="Q19" s="9" t="s">
        <v>55</v>
      </c>
    </row>
  </sheetData>
  <autoFilter ref="A3:T17" xr:uid="{E798CC90-9E61-4340-AC7D-1E5CACDA97A1}">
    <filterColumn colId="4">
      <filters blank="1">
        <filter val="L1.2 LB"/>
        <filter val="L2.2 LB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B7EC-5095-42D1-BCEF-37555695C221}">
  <sheetPr filterMode="1"/>
  <dimension ref="A1:Z18"/>
  <sheetViews>
    <sheetView tabSelected="1" workbookViewId="0">
      <selection activeCell="F22" sqref="F22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23" width="11.6640625" bestFit="1" customWidth="1"/>
    <col min="24" max="25" width="17.88671875" bestFit="1" customWidth="1"/>
    <col min="26" max="26" width="11.6640625" bestFit="1" customWidth="1"/>
  </cols>
  <sheetData>
    <row r="1" spans="1:26" s="1" customFormat="1" ht="13.8" x14ac:dyDescent="0.25">
      <c r="A1" s="1" t="s">
        <v>0</v>
      </c>
    </row>
    <row r="3" spans="1:26" x14ac:dyDescent="0.3">
      <c r="A3" s="2" t="s">
        <v>1</v>
      </c>
      <c r="B3" s="2" t="s">
        <v>122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57</v>
      </c>
      <c r="H3" s="2" t="s">
        <v>58</v>
      </c>
      <c r="I3" s="2" t="s">
        <v>59</v>
      </c>
      <c r="J3" s="2" t="s">
        <v>61</v>
      </c>
      <c r="K3" s="2" t="s">
        <v>62</v>
      </c>
      <c r="L3" s="2" t="s">
        <v>80</v>
      </c>
      <c r="M3" s="2" t="s">
        <v>123</v>
      </c>
      <c r="N3" s="2" t="s">
        <v>124</v>
      </c>
      <c r="O3" s="2" t="s">
        <v>7</v>
      </c>
      <c r="P3" s="2" t="s">
        <v>63</v>
      </c>
      <c r="Q3" s="2" t="s">
        <v>64</v>
      </c>
      <c r="R3" s="2" t="s">
        <v>81</v>
      </c>
      <c r="S3" s="2" t="s">
        <v>67</v>
      </c>
      <c r="T3" s="2" t="s">
        <v>68</v>
      </c>
      <c r="U3" s="2" t="s">
        <v>82</v>
      </c>
      <c r="V3" s="2" t="s">
        <v>125</v>
      </c>
      <c r="W3" s="2" t="s">
        <v>126</v>
      </c>
      <c r="X3" s="2" t="s">
        <v>9</v>
      </c>
      <c r="Y3" s="2" t="s">
        <v>10</v>
      </c>
      <c r="Z3" s="2" t="s">
        <v>11</v>
      </c>
    </row>
    <row r="4" spans="1:26" hidden="1" x14ac:dyDescent="0.3">
      <c r="A4" s="2">
        <v>65</v>
      </c>
      <c r="B4" t="s">
        <v>127</v>
      </c>
      <c r="C4" t="s">
        <v>13</v>
      </c>
      <c r="D4" t="s">
        <v>128</v>
      </c>
      <c r="E4" t="s">
        <v>15</v>
      </c>
      <c r="F4" t="s">
        <v>122</v>
      </c>
      <c r="G4" s="8">
        <v>9.4</v>
      </c>
      <c r="H4" s="8">
        <v>14.5</v>
      </c>
      <c r="I4" s="8">
        <v>5.0999999999999996</v>
      </c>
      <c r="J4" s="8">
        <v>3.9</v>
      </c>
      <c r="K4" s="10">
        <v>4.08</v>
      </c>
      <c r="L4" s="8">
        <v>46.6</v>
      </c>
      <c r="M4" s="10">
        <v>0.3</v>
      </c>
      <c r="N4" s="10">
        <v>0.42</v>
      </c>
      <c r="O4" s="3">
        <v>25</v>
      </c>
      <c r="P4" s="8">
        <v>1.7</v>
      </c>
      <c r="Q4" s="8">
        <v>3.2</v>
      </c>
      <c r="R4" s="8">
        <v>1.7</v>
      </c>
      <c r="S4" s="8">
        <v>2</v>
      </c>
      <c r="T4" s="8">
        <v>2.1</v>
      </c>
      <c r="U4" s="8">
        <v>3.9</v>
      </c>
      <c r="V4" s="8">
        <v>3</v>
      </c>
      <c r="W4" s="8">
        <v>2.2999999999999998</v>
      </c>
      <c r="X4" s="5">
        <v>45988.43645833333</v>
      </c>
      <c r="Y4" s="5">
        <v>45988.436655092592</v>
      </c>
      <c r="Z4" s="6">
        <v>1.9675926887430251E-4</v>
      </c>
    </row>
    <row r="5" spans="1:26" hidden="1" x14ac:dyDescent="0.3">
      <c r="A5" s="2">
        <v>66</v>
      </c>
      <c r="B5" t="s">
        <v>129</v>
      </c>
      <c r="C5" t="s">
        <v>13</v>
      </c>
      <c r="D5" t="s">
        <v>128</v>
      </c>
      <c r="E5" t="s">
        <v>15</v>
      </c>
      <c r="F5" t="s">
        <v>122</v>
      </c>
      <c r="G5" s="8">
        <v>9.4</v>
      </c>
      <c r="H5" s="8">
        <v>14.6</v>
      </c>
      <c r="I5" s="8">
        <v>5.2</v>
      </c>
      <c r="J5" s="8">
        <v>3.9</v>
      </c>
      <c r="K5" s="10">
        <v>4.1100000000000003</v>
      </c>
      <c r="L5" s="8">
        <v>46.1</v>
      </c>
      <c r="M5" s="10">
        <v>0.31</v>
      </c>
      <c r="N5" s="10">
        <v>0.41</v>
      </c>
      <c r="O5" s="3">
        <v>25</v>
      </c>
      <c r="P5" s="8">
        <v>1.6</v>
      </c>
      <c r="Q5" s="8">
        <v>3.2</v>
      </c>
      <c r="R5" s="8">
        <v>1.7</v>
      </c>
      <c r="S5" s="8">
        <v>1.8</v>
      </c>
      <c r="T5" s="8">
        <v>1.8</v>
      </c>
      <c r="U5" s="8">
        <v>3.7</v>
      </c>
      <c r="V5" s="8">
        <v>2.8</v>
      </c>
      <c r="W5" s="8">
        <v>2.1</v>
      </c>
      <c r="X5" s="5">
        <v>45988.436840277776</v>
      </c>
      <c r="Y5" s="5">
        <v>45988.436990740738</v>
      </c>
      <c r="Z5" s="6">
        <v>1.6203703125938773E-4</v>
      </c>
    </row>
    <row r="6" spans="1:26" hidden="1" x14ac:dyDescent="0.3">
      <c r="A6" s="2">
        <v>67</v>
      </c>
      <c r="B6" t="s">
        <v>130</v>
      </c>
      <c r="C6" t="s">
        <v>13</v>
      </c>
      <c r="D6" t="s">
        <v>128</v>
      </c>
      <c r="E6" t="s">
        <v>15</v>
      </c>
      <c r="F6" t="s">
        <v>122</v>
      </c>
      <c r="G6" s="8">
        <v>9.4</v>
      </c>
      <c r="H6" s="8">
        <v>14.2</v>
      </c>
      <c r="I6" s="8">
        <v>5.2</v>
      </c>
      <c r="J6" s="8">
        <v>3.9</v>
      </c>
      <c r="K6" s="10">
        <v>4.09</v>
      </c>
      <c r="L6" s="8">
        <v>47</v>
      </c>
      <c r="M6" s="10">
        <v>0.26</v>
      </c>
      <c r="N6" s="10">
        <v>0.41</v>
      </c>
      <c r="O6" s="3">
        <v>25</v>
      </c>
      <c r="P6" s="8">
        <v>1.6</v>
      </c>
      <c r="Q6" s="8">
        <v>3</v>
      </c>
      <c r="R6" s="8">
        <v>1.7</v>
      </c>
      <c r="S6" s="8">
        <v>1.7</v>
      </c>
      <c r="T6" s="8">
        <v>1.9</v>
      </c>
      <c r="U6" s="8">
        <v>3.8</v>
      </c>
      <c r="V6" s="8">
        <v>3.4</v>
      </c>
      <c r="W6" s="8">
        <v>2.1</v>
      </c>
      <c r="X6" s="5">
        <v>45988.43712962963</v>
      </c>
      <c r="Y6" s="5">
        <v>45988.437291666669</v>
      </c>
      <c r="Z6" s="6">
        <v>1.6203703125938773E-4</v>
      </c>
    </row>
    <row r="7" spans="1:26" x14ac:dyDescent="0.3">
      <c r="A7" s="2">
        <v>68</v>
      </c>
      <c r="B7" t="s">
        <v>131</v>
      </c>
      <c r="C7" t="s">
        <v>13</v>
      </c>
      <c r="D7" t="s">
        <v>128</v>
      </c>
      <c r="E7" t="s">
        <v>29</v>
      </c>
      <c r="F7" t="s">
        <v>122</v>
      </c>
      <c r="G7" s="8">
        <v>9.5</v>
      </c>
      <c r="H7" s="8">
        <v>15</v>
      </c>
      <c r="I7" s="8">
        <v>5.2</v>
      </c>
      <c r="J7" s="8">
        <v>3.8</v>
      </c>
      <c r="K7" s="10">
        <v>4.24</v>
      </c>
      <c r="L7" s="8">
        <v>46.5</v>
      </c>
      <c r="M7" s="10">
        <v>0.28999999999999998</v>
      </c>
      <c r="N7" s="10">
        <v>0.41</v>
      </c>
      <c r="O7" s="3">
        <v>25</v>
      </c>
      <c r="P7" s="8">
        <v>1.2</v>
      </c>
      <c r="Q7" s="8">
        <v>2.5</v>
      </c>
      <c r="R7" s="8">
        <v>1.4</v>
      </c>
      <c r="S7" s="8">
        <v>1.7</v>
      </c>
      <c r="T7" s="8">
        <v>1.6</v>
      </c>
      <c r="U7" s="8">
        <v>3.1</v>
      </c>
      <c r="V7" s="8">
        <v>3.2</v>
      </c>
      <c r="W7" s="8">
        <v>1.9</v>
      </c>
      <c r="X7" s="5">
        <v>45988.696412037039</v>
      </c>
      <c r="Y7" s="5">
        <v>45988.696608796294</v>
      </c>
      <c r="Z7" s="6">
        <v>1.9675926887430251E-4</v>
      </c>
    </row>
    <row r="8" spans="1:26" x14ac:dyDescent="0.3">
      <c r="A8" s="2">
        <v>69</v>
      </c>
      <c r="B8" t="s">
        <v>132</v>
      </c>
      <c r="C8" t="s">
        <v>13</v>
      </c>
      <c r="D8" t="s">
        <v>128</v>
      </c>
      <c r="E8" t="s">
        <v>29</v>
      </c>
      <c r="F8" t="s">
        <v>122</v>
      </c>
      <c r="G8" s="8">
        <v>9.6</v>
      </c>
      <c r="H8" s="8">
        <v>15.1</v>
      </c>
      <c r="I8" s="8">
        <v>5.2</v>
      </c>
      <c r="J8" s="8">
        <v>3.8</v>
      </c>
      <c r="K8" s="10">
        <v>4.28</v>
      </c>
      <c r="L8" s="8">
        <v>46.6</v>
      </c>
      <c r="M8" s="10">
        <v>0.32</v>
      </c>
      <c r="N8" s="10">
        <v>0.42</v>
      </c>
      <c r="O8" s="3">
        <v>25</v>
      </c>
      <c r="P8" s="8">
        <v>1</v>
      </c>
      <c r="Q8" s="8">
        <v>2.1</v>
      </c>
      <c r="R8" s="8">
        <v>1.2</v>
      </c>
      <c r="S8" s="8">
        <v>1.3</v>
      </c>
      <c r="T8" s="8">
        <v>1.3</v>
      </c>
      <c r="U8" s="8">
        <v>2.9</v>
      </c>
      <c r="V8" s="8">
        <v>2.8</v>
      </c>
      <c r="W8" s="8">
        <v>1.7</v>
      </c>
      <c r="X8" s="5">
        <v>45988.696793981479</v>
      </c>
      <c r="Y8" s="5">
        <v>45988.696909722225</v>
      </c>
      <c r="Z8" s="6">
        <v>1.1574075324460864E-4</v>
      </c>
    </row>
    <row r="9" spans="1:26" x14ac:dyDescent="0.3">
      <c r="A9" s="2">
        <v>70</v>
      </c>
      <c r="B9" t="s">
        <v>133</v>
      </c>
      <c r="C9" t="s">
        <v>13</v>
      </c>
      <c r="D9" t="s">
        <v>128</v>
      </c>
      <c r="E9" t="s">
        <v>29</v>
      </c>
      <c r="F9" t="s">
        <v>122</v>
      </c>
      <c r="G9" s="8">
        <v>9.5</v>
      </c>
      <c r="H9" s="8">
        <v>15</v>
      </c>
      <c r="I9" s="8">
        <v>5.2</v>
      </c>
      <c r="J9" s="8">
        <v>3.7</v>
      </c>
      <c r="K9" s="10">
        <v>4.28</v>
      </c>
      <c r="L9" s="8">
        <v>46.6</v>
      </c>
      <c r="M9" s="10">
        <v>0.31</v>
      </c>
      <c r="N9" s="10">
        <v>0.43</v>
      </c>
      <c r="O9" s="3">
        <v>25</v>
      </c>
      <c r="P9" s="8">
        <v>1</v>
      </c>
      <c r="Q9" s="8">
        <v>2</v>
      </c>
      <c r="R9" s="8">
        <v>1.2</v>
      </c>
      <c r="S9" s="8">
        <v>1.2</v>
      </c>
      <c r="T9" s="8">
        <v>1.2</v>
      </c>
      <c r="U9" s="8">
        <v>2.9</v>
      </c>
      <c r="V9" s="8">
        <v>2.8</v>
      </c>
      <c r="W9" s="8">
        <v>1.5</v>
      </c>
      <c r="X9" s="5">
        <v>45988.697118055556</v>
      </c>
      <c r="Y9" s="5">
        <v>45988.697233796294</v>
      </c>
      <c r="Z9" s="6">
        <v>1.2731482274830341E-4</v>
      </c>
    </row>
    <row r="10" spans="1:26" x14ac:dyDescent="0.3">
      <c r="A10" s="2">
        <v>71</v>
      </c>
      <c r="B10" t="s">
        <v>134</v>
      </c>
      <c r="C10" t="s">
        <v>13</v>
      </c>
      <c r="D10" t="s">
        <v>128</v>
      </c>
      <c r="E10" t="s">
        <v>33</v>
      </c>
      <c r="F10" t="s">
        <v>122</v>
      </c>
      <c r="G10" s="8">
        <v>9.5</v>
      </c>
      <c r="H10" s="8">
        <v>15</v>
      </c>
      <c r="I10" s="8">
        <v>5.3</v>
      </c>
      <c r="J10" s="8">
        <v>3.7</v>
      </c>
      <c r="K10" s="10">
        <v>4.22</v>
      </c>
      <c r="L10" s="8">
        <v>46.3</v>
      </c>
      <c r="M10" s="10">
        <v>0.26</v>
      </c>
      <c r="N10" s="10">
        <v>0.45</v>
      </c>
      <c r="O10" s="3">
        <v>25</v>
      </c>
      <c r="P10" s="8">
        <v>1.4</v>
      </c>
      <c r="Q10" s="8">
        <v>2.1</v>
      </c>
      <c r="R10" s="8">
        <v>1.4</v>
      </c>
      <c r="S10" s="8">
        <v>1.7</v>
      </c>
      <c r="T10" s="8">
        <v>1.6</v>
      </c>
      <c r="U10" s="8">
        <v>2.9</v>
      </c>
      <c r="V10" s="8">
        <v>3.5</v>
      </c>
      <c r="W10" s="8">
        <v>1.9</v>
      </c>
      <c r="X10" s="5">
        <v>45988.710520833331</v>
      </c>
      <c r="Y10" s="5">
        <v>45988.710682870369</v>
      </c>
      <c r="Z10" s="6">
        <v>1.6203703125938773E-4</v>
      </c>
    </row>
    <row r="11" spans="1:26" x14ac:dyDescent="0.3">
      <c r="A11" s="2">
        <v>72</v>
      </c>
      <c r="B11" t="s">
        <v>135</v>
      </c>
      <c r="C11" t="s">
        <v>13</v>
      </c>
      <c r="D11" t="s">
        <v>128</v>
      </c>
      <c r="E11" t="s">
        <v>33</v>
      </c>
      <c r="F11" t="s">
        <v>122</v>
      </c>
      <c r="G11" s="8">
        <v>9.6</v>
      </c>
      <c r="H11" s="8">
        <v>15</v>
      </c>
      <c r="I11" s="8">
        <v>5.2</v>
      </c>
      <c r="J11" s="8">
        <v>3.7</v>
      </c>
      <c r="K11" s="10">
        <v>4.26</v>
      </c>
      <c r="L11" s="8">
        <v>45.9</v>
      </c>
      <c r="M11" s="10">
        <v>0.31</v>
      </c>
      <c r="N11" s="10">
        <v>0.47</v>
      </c>
      <c r="O11" s="3">
        <v>25</v>
      </c>
      <c r="P11" s="8">
        <v>1.2</v>
      </c>
      <c r="Q11" s="8">
        <v>2.1</v>
      </c>
      <c r="R11" s="8">
        <v>1.2</v>
      </c>
      <c r="S11" s="8">
        <v>1.3</v>
      </c>
      <c r="T11" s="8">
        <v>1.3</v>
      </c>
      <c r="U11" s="8">
        <v>2.6</v>
      </c>
      <c r="V11" s="8">
        <v>2.7</v>
      </c>
      <c r="W11" s="8">
        <v>1.6</v>
      </c>
      <c r="X11" s="5">
        <v>45988.7108912037</v>
      </c>
      <c r="Y11" s="5">
        <v>45988.7112037037</v>
      </c>
      <c r="Z11" s="6">
        <v>3.1249999301508069E-4</v>
      </c>
    </row>
    <row r="12" spans="1:26" x14ac:dyDescent="0.3">
      <c r="A12" s="2">
        <v>73</v>
      </c>
      <c r="B12" t="s">
        <v>136</v>
      </c>
      <c r="C12" t="s">
        <v>13</v>
      </c>
      <c r="D12" t="s">
        <v>128</v>
      </c>
      <c r="E12" t="s">
        <v>33</v>
      </c>
      <c r="F12" t="s">
        <v>122</v>
      </c>
      <c r="G12" s="8">
        <v>9.5</v>
      </c>
      <c r="H12" s="8">
        <v>15.1</v>
      </c>
      <c r="I12" s="8">
        <v>5.2</v>
      </c>
      <c r="J12" s="8">
        <v>3.7</v>
      </c>
      <c r="K12" s="10">
        <v>4.2699999999999996</v>
      </c>
      <c r="L12" s="8">
        <v>46.2</v>
      </c>
      <c r="M12" s="10">
        <v>0.27</v>
      </c>
      <c r="N12" s="10">
        <v>0.5</v>
      </c>
      <c r="O12" s="3">
        <v>25</v>
      </c>
      <c r="P12" s="8">
        <v>1.2</v>
      </c>
      <c r="Q12" s="8">
        <v>1.9</v>
      </c>
      <c r="R12" s="8">
        <v>1.1000000000000001</v>
      </c>
      <c r="S12" s="8">
        <v>1.1000000000000001</v>
      </c>
      <c r="T12" s="8">
        <v>1.1000000000000001</v>
      </c>
      <c r="U12" s="8">
        <v>2.5</v>
      </c>
      <c r="V12" s="8">
        <v>3</v>
      </c>
      <c r="W12" s="8">
        <v>1.4</v>
      </c>
      <c r="X12" s="5">
        <v>45988.711365740739</v>
      </c>
      <c r="Y12" s="5">
        <v>45988.711643518516</v>
      </c>
      <c r="Z12" s="6">
        <v>2.7777778450399637E-4</v>
      </c>
    </row>
    <row r="13" spans="1:26" x14ac:dyDescent="0.3">
      <c r="B13" s="1" t="s">
        <v>50</v>
      </c>
      <c r="G13" s="9">
        <f t="shared" ref="G13:W13" si="0">AVERAGE(G4:G12)</f>
        <v>9.4888888888888889</v>
      </c>
      <c r="H13" s="9">
        <f t="shared" si="0"/>
        <v>14.833333333333334</v>
      </c>
      <c r="I13" s="9">
        <f t="shared" si="0"/>
        <v>5.2</v>
      </c>
      <c r="J13" s="9">
        <f t="shared" si="0"/>
        <v>3.7888888888888892</v>
      </c>
      <c r="K13" s="11">
        <f t="shared" si="0"/>
        <v>4.2033333333333331</v>
      </c>
      <c r="L13" s="9">
        <f t="shared" si="0"/>
        <v>46.422222222222217</v>
      </c>
      <c r="M13" s="11">
        <f t="shared" si="0"/>
        <v>0.29222222222222222</v>
      </c>
      <c r="N13" s="11">
        <f t="shared" si="0"/>
        <v>0.43555555555555553</v>
      </c>
      <c r="O13" s="7">
        <f t="shared" si="0"/>
        <v>25</v>
      </c>
      <c r="P13" s="9">
        <f t="shared" si="0"/>
        <v>1.3222222222222222</v>
      </c>
      <c r="Q13" s="9">
        <f t="shared" si="0"/>
        <v>2.4555555555555557</v>
      </c>
      <c r="R13" s="9">
        <f t="shared" si="0"/>
        <v>1.4</v>
      </c>
      <c r="S13" s="9">
        <f t="shared" si="0"/>
        <v>1.5333333333333332</v>
      </c>
      <c r="T13" s="9">
        <f t="shared" si="0"/>
        <v>1.5444444444444445</v>
      </c>
      <c r="U13" s="9">
        <f t="shared" si="0"/>
        <v>3.1444444444444439</v>
      </c>
      <c r="V13" s="9">
        <f t="shared" si="0"/>
        <v>3.0222222222222221</v>
      </c>
      <c r="W13" s="9">
        <f t="shared" si="0"/>
        <v>1.8333333333333333</v>
      </c>
    </row>
    <row r="14" spans="1:26" x14ac:dyDescent="0.3">
      <c r="B14" s="1" t="s">
        <v>51</v>
      </c>
      <c r="G14" s="9">
        <f t="shared" ref="G14:W14" si="1">MIN(G4:G12)</f>
        <v>9.4</v>
      </c>
      <c r="H14" s="9">
        <f t="shared" si="1"/>
        <v>14.2</v>
      </c>
      <c r="I14" s="9">
        <f t="shared" si="1"/>
        <v>5.0999999999999996</v>
      </c>
      <c r="J14" s="9">
        <f t="shared" si="1"/>
        <v>3.7</v>
      </c>
      <c r="K14" s="11">
        <f t="shared" si="1"/>
        <v>4.08</v>
      </c>
      <c r="L14" s="9">
        <f t="shared" si="1"/>
        <v>45.9</v>
      </c>
      <c r="M14" s="11">
        <f t="shared" si="1"/>
        <v>0.26</v>
      </c>
      <c r="N14" s="11">
        <f t="shared" si="1"/>
        <v>0.41</v>
      </c>
      <c r="O14" s="7">
        <f t="shared" si="1"/>
        <v>25</v>
      </c>
      <c r="P14" s="9">
        <f t="shared" si="1"/>
        <v>1</v>
      </c>
      <c r="Q14" s="9">
        <f t="shared" si="1"/>
        <v>1.9</v>
      </c>
      <c r="R14" s="9">
        <f t="shared" si="1"/>
        <v>1.1000000000000001</v>
      </c>
      <c r="S14" s="9">
        <f t="shared" si="1"/>
        <v>1.1000000000000001</v>
      </c>
      <c r="T14" s="9">
        <f t="shared" si="1"/>
        <v>1.1000000000000001</v>
      </c>
      <c r="U14" s="9">
        <f t="shared" si="1"/>
        <v>2.5</v>
      </c>
      <c r="V14" s="9">
        <f t="shared" si="1"/>
        <v>2.7</v>
      </c>
      <c r="W14" s="9">
        <f t="shared" si="1"/>
        <v>1.4</v>
      </c>
    </row>
    <row r="15" spans="1:26" x14ac:dyDescent="0.3">
      <c r="B15" s="1" t="s">
        <v>52</v>
      </c>
      <c r="G15" s="9">
        <f t="shared" ref="G15:W15" si="2">MAX(G4:G12)</f>
        <v>9.6</v>
      </c>
      <c r="H15" s="9">
        <f t="shared" si="2"/>
        <v>15.1</v>
      </c>
      <c r="I15" s="9">
        <f t="shared" si="2"/>
        <v>5.3</v>
      </c>
      <c r="J15" s="9">
        <f t="shared" si="2"/>
        <v>3.9</v>
      </c>
      <c r="K15" s="11">
        <f t="shared" si="2"/>
        <v>4.28</v>
      </c>
      <c r="L15" s="9">
        <f t="shared" si="2"/>
        <v>47</v>
      </c>
      <c r="M15" s="11">
        <f t="shared" si="2"/>
        <v>0.32</v>
      </c>
      <c r="N15" s="11">
        <f t="shared" si="2"/>
        <v>0.5</v>
      </c>
      <c r="O15" s="7">
        <f t="shared" si="2"/>
        <v>25</v>
      </c>
      <c r="P15" s="9">
        <f t="shared" si="2"/>
        <v>1.7</v>
      </c>
      <c r="Q15" s="9">
        <f t="shared" si="2"/>
        <v>3.2</v>
      </c>
      <c r="R15" s="9">
        <f t="shared" si="2"/>
        <v>1.7</v>
      </c>
      <c r="S15" s="9">
        <f t="shared" si="2"/>
        <v>2</v>
      </c>
      <c r="T15" s="9">
        <f t="shared" si="2"/>
        <v>2.1</v>
      </c>
      <c r="U15" s="9">
        <f t="shared" si="2"/>
        <v>3.9</v>
      </c>
      <c r="V15" s="9">
        <f t="shared" si="2"/>
        <v>3.5</v>
      </c>
      <c r="W15" s="9">
        <f t="shared" si="2"/>
        <v>2.2999999999999998</v>
      </c>
    </row>
    <row r="16" spans="1:26" x14ac:dyDescent="0.3">
      <c r="B16" s="1" t="s">
        <v>53</v>
      </c>
      <c r="G16" s="9">
        <f t="shared" ref="G16:W16" si="3">STDEV(G4:G12)</f>
        <v>7.817359599705688E-2</v>
      </c>
      <c r="H16" s="9">
        <f t="shared" si="3"/>
        <v>0.32015621187164256</v>
      </c>
      <c r="I16" s="9">
        <f t="shared" si="3"/>
        <v>5.0000000000000044E-2</v>
      </c>
      <c r="J16" s="9">
        <f t="shared" si="3"/>
        <v>9.2796072713833583E-2</v>
      </c>
      <c r="K16" s="11">
        <f t="shared" si="3"/>
        <v>8.4999999999999964E-2</v>
      </c>
      <c r="L16" s="9">
        <f t="shared" si="3"/>
        <v>0.33082388735465373</v>
      </c>
      <c r="M16" s="11">
        <f t="shared" si="3"/>
        <v>2.3333333333333327E-2</v>
      </c>
      <c r="N16" s="11">
        <f t="shared" si="3"/>
        <v>3.1666666666666676E-2</v>
      </c>
      <c r="O16" s="7">
        <f t="shared" si="3"/>
        <v>0</v>
      </c>
      <c r="P16" s="9">
        <f t="shared" si="3"/>
        <v>0.26352313834736446</v>
      </c>
      <c r="Q16" s="9">
        <f t="shared" si="3"/>
        <v>0.53644923131436739</v>
      </c>
      <c r="R16" s="9">
        <f t="shared" si="3"/>
        <v>0.24494897427831702</v>
      </c>
      <c r="S16" s="9">
        <f t="shared" si="3"/>
        <v>0.31224989991992086</v>
      </c>
      <c r="T16" s="9">
        <f t="shared" si="3"/>
        <v>0.34318767136623302</v>
      </c>
      <c r="U16" s="9">
        <f t="shared" si="3"/>
        <v>0.52466920795657435</v>
      </c>
      <c r="V16" s="9">
        <f t="shared" si="3"/>
        <v>0.28625940062196115</v>
      </c>
      <c r="W16" s="9">
        <f t="shared" si="3"/>
        <v>0.3041381265149114</v>
      </c>
    </row>
    <row r="18" spans="2:23" x14ac:dyDescent="0.3">
      <c r="B18" s="1" t="s">
        <v>54</v>
      </c>
      <c r="G18" s="9" t="s">
        <v>55</v>
      </c>
      <c r="H18" s="9" t="s">
        <v>55</v>
      </c>
      <c r="I18" s="9" t="s">
        <v>55</v>
      </c>
      <c r="J18" s="9" t="s">
        <v>55</v>
      </c>
      <c r="K18" s="11" t="s">
        <v>55</v>
      </c>
      <c r="L18" s="9" t="s">
        <v>55</v>
      </c>
      <c r="M18" s="11" t="s">
        <v>55</v>
      </c>
      <c r="N18" s="11" t="s">
        <v>55</v>
      </c>
      <c r="O18" s="7" t="s">
        <v>55</v>
      </c>
      <c r="P18" s="9" t="s">
        <v>55</v>
      </c>
      <c r="Q18" s="9" t="s">
        <v>55</v>
      </c>
      <c r="R18" s="9" t="s">
        <v>55</v>
      </c>
      <c r="S18" s="9" t="s">
        <v>55</v>
      </c>
      <c r="T18" s="9" t="s">
        <v>55</v>
      </c>
      <c r="U18" s="9" t="s">
        <v>55</v>
      </c>
      <c r="V18" s="9" t="s">
        <v>55</v>
      </c>
      <c r="W18" s="9" t="s">
        <v>55</v>
      </c>
    </row>
  </sheetData>
  <autoFilter ref="A3:Z16" xr:uid="{9D3DB7EC-5095-42D1-BCEF-37555695C221}">
    <filterColumn colId="4">
      <filters blank="1">
        <filter val="L1.2 LB"/>
        <filter val="L2.2 LB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Espectros</vt:lpstr>
      <vt:lpstr>Colza</vt:lpstr>
      <vt:lpstr>TrigoTriti</vt:lpstr>
      <vt:lpstr>Maiz</vt:lpstr>
      <vt:lpstr>Soja</vt:lpstr>
      <vt:lpstr>Cerdos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PROXIMATE</dc:creator>
  <cp:lastModifiedBy>Pairó Miquel</cp:lastModifiedBy>
  <dcterms:created xsi:type="dcterms:W3CDTF">2025-11-27T17:05:22Z</dcterms:created>
  <dcterms:modified xsi:type="dcterms:W3CDTF">2025-11-27T16:09:37Z</dcterms:modified>
</cp:coreProperties>
</file>