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hicosmos-my.sharepoint.com/personal/pairo_m_buchi_com/Documents/Desktop/BUNGE_tests cambio de lampara/Demo sensor/316FG103 MANT L1.3/"/>
    </mc:Choice>
  </mc:AlternateContent>
  <xr:revisionPtr revIDLastSave="3" documentId="8_{F0234325-3083-45F1-B028-14137D1F0334}" xr6:coauthVersionLast="47" xr6:coauthVersionMax="47" xr10:uidLastSave="{B6322C9D-DA50-4B3B-85AF-CEEE309977B8}"/>
  <bookViews>
    <workbookView xWindow="28680" yWindow="-120" windowWidth="29040" windowHeight="15720" activeTab="4" xr2:uid="{D2006934-E779-43E6-B88D-669385ED1AF2}"/>
  </bookViews>
  <sheets>
    <sheet name="Espectros" sheetId="1" r:id="rId1"/>
    <sheet name="Soja" sheetId="2" r:id="rId2"/>
    <sheet name="Maiz" sheetId="3" r:id="rId3"/>
    <sheet name="TrigoTriti" sheetId="4" r:id="rId4"/>
    <sheet name="Colza" sheetId="5" r:id="rId5"/>
    <sheet name="Cerdos" sheetId="6" r:id="rId6"/>
  </sheets>
  <definedNames>
    <definedName name="_xlnm._FilterDatabase" localSheetId="5" hidden="1">Cerdos!$A$3:$Z$19</definedName>
    <definedName name="_xlnm._FilterDatabase" localSheetId="4" hidden="1">Colza!$A$3:$V$19</definedName>
    <definedName name="_xlnm._FilterDatabase" localSheetId="2" hidden="1">Maiz!$A$3:$X$19</definedName>
    <definedName name="_xlnm._FilterDatabase" localSheetId="1" hidden="1">Soja!$A$3:$T$20</definedName>
    <definedName name="_xlnm._FilterDatabase" localSheetId="3" hidden="1">TrigoTriti!$A$3:$V$19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" i="6" l="1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Q20" i="2"/>
  <c r="P20" i="2"/>
  <c r="O20" i="2"/>
  <c r="N20" i="2"/>
  <c r="M20" i="2"/>
  <c r="L20" i="2"/>
  <c r="K20" i="2"/>
  <c r="J20" i="2"/>
  <c r="I20" i="2"/>
  <c r="H20" i="2"/>
  <c r="G20" i="2"/>
  <c r="Q19" i="2"/>
  <c r="P19" i="2"/>
  <c r="O19" i="2"/>
  <c r="N19" i="2"/>
  <c r="M19" i="2"/>
  <c r="L19" i="2"/>
  <c r="K19" i="2"/>
  <c r="J19" i="2"/>
  <c r="I19" i="2"/>
  <c r="H19" i="2"/>
  <c r="G19" i="2"/>
  <c r="Q18" i="2"/>
  <c r="P18" i="2"/>
  <c r="O18" i="2"/>
  <c r="N18" i="2"/>
  <c r="M18" i="2"/>
  <c r="L18" i="2"/>
  <c r="K18" i="2"/>
  <c r="J18" i="2"/>
  <c r="I18" i="2"/>
  <c r="H18" i="2"/>
  <c r="G18" i="2"/>
  <c r="Q17" i="2"/>
  <c r="P17" i="2"/>
  <c r="O17" i="2"/>
  <c r="N17" i="2"/>
  <c r="M17" i="2"/>
  <c r="L17" i="2"/>
  <c r="K17" i="2"/>
  <c r="J17" i="2"/>
  <c r="I17" i="2"/>
  <c r="H17" i="2"/>
  <c r="G17" i="2"/>
  <c r="N49" i="1"/>
  <c r="M49" i="1"/>
  <c r="L49" i="1"/>
  <c r="K49" i="1"/>
  <c r="J49" i="1"/>
  <c r="I49" i="1"/>
  <c r="H49" i="1"/>
  <c r="G49" i="1"/>
  <c r="N48" i="1"/>
  <c r="M48" i="1"/>
  <c r="L48" i="1"/>
  <c r="K48" i="1"/>
  <c r="J48" i="1"/>
  <c r="I48" i="1"/>
  <c r="H48" i="1"/>
  <c r="G48" i="1"/>
  <c r="N47" i="1"/>
  <c r="M47" i="1"/>
  <c r="L47" i="1"/>
  <c r="K47" i="1"/>
  <c r="J47" i="1"/>
  <c r="I47" i="1"/>
  <c r="H47" i="1"/>
  <c r="G47" i="1"/>
  <c r="N46" i="1"/>
  <c r="M46" i="1"/>
  <c r="L46" i="1"/>
  <c r="K46" i="1"/>
  <c r="J46" i="1"/>
  <c r="I46" i="1"/>
  <c r="H46" i="1"/>
  <c r="G46" i="1"/>
</calcChain>
</file>

<file path=xl/sharedStrings.xml><?xml version="1.0" encoding="utf-8"?>
<sst xmlns="http://schemas.openxmlformats.org/spreadsheetml/2006/main" count="784" uniqueCount="177">
  <si>
    <t>5/12/2025 ... 5/12/2025 23:59:59</t>
  </si>
  <si>
    <t>#</t>
  </si>
  <si>
    <t>Espectros</t>
  </si>
  <si>
    <t>Unit</t>
  </si>
  <si>
    <t>ID</t>
  </si>
  <si>
    <t>Note</t>
  </si>
  <si>
    <t>Product</t>
  </si>
  <si>
    <t>Speed</t>
  </si>
  <si>
    <t>Reflection 1000</t>
  </si>
  <si>
    <t>Reflection 1300</t>
  </si>
  <si>
    <t>Reflection 1362</t>
  </si>
  <si>
    <t>Reflection 1380</t>
  </si>
  <si>
    <t>Reflection 1500</t>
  </si>
  <si>
    <t>Reflection 1650</t>
  </si>
  <si>
    <t>Reflection 1700</t>
  </si>
  <si>
    <t>Begin</t>
  </si>
  <si>
    <t>End</t>
  </si>
  <si>
    <t>Length</t>
  </si>
  <si>
    <t>#2025-12-05 12:00:39 316FG103</t>
  </si>
  <si>
    <t>316FG103</t>
  </si>
  <si>
    <t>WHITE</t>
  </si>
  <si>
    <t>L1.2 NB</t>
  </si>
  <si>
    <t>#2025-12-05 12:08:57 316FG103</t>
  </si>
  <si>
    <t>#2025-12-05 12:10:08 316FG103</t>
  </si>
  <si>
    <t>L1.2 BL</t>
  </si>
  <si>
    <t>#2025-12-05 12:18:33 316FG103</t>
  </si>
  <si>
    <t>STD2</t>
  </si>
  <si>
    <t>#2025-12-05 12:19:09 316FG103</t>
  </si>
  <si>
    <t>STD3</t>
  </si>
  <si>
    <t>#2025-12-05 13:08:03 316FG103</t>
  </si>
  <si>
    <t xml:space="preserve">L1.3 BL anterior </t>
  </si>
  <si>
    <t>&gt;1.0000</t>
  </si>
  <si>
    <t>#2025-12-05 13:09:42 316FG103</t>
  </si>
  <si>
    <t>L1.3 BL</t>
  </si>
  <si>
    <t>#2025-12-05 13:10:13 316FG103</t>
  </si>
  <si>
    <t>#2025-12-05 13:10:45 316FG103</t>
  </si>
  <si>
    <t>#2025-12-05 13:12:30 316FG103</t>
  </si>
  <si>
    <t>V01</t>
  </si>
  <si>
    <t>#2025-12-05 13:12:58 316FG103</t>
  </si>
  <si>
    <t>V02</t>
  </si>
  <si>
    <t>#2025-12-05 13:13:25 316FG103</t>
  </si>
  <si>
    <t>V03</t>
  </si>
  <si>
    <t>#2025-12-05 13:13:49 316FG103</t>
  </si>
  <si>
    <t>V04</t>
  </si>
  <si>
    <t>#2025-12-05 13:14:13 316FG103</t>
  </si>
  <si>
    <t>V05</t>
  </si>
  <si>
    <t>#2025-12-05 13:14:40 316FG103</t>
  </si>
  <si>
    <t>#2025-12-05 13:15:20 316FG103</t>
  </si>
  <si>
    <t>#2025-12-05 13:16:03 316FG103</t>
  </si>
  <si>
    <t>#2025-12-05 13:16:32 316FG103</t>
  </si>
  <si>
    <t>#2025-12-05 13:29:43 316FG103</t>
  </si>
  <si>
    <t>#2025-12-05 13:30:09 316FG103</t>
  </si>
  <si>
    <t>#2025-12-05 13:30:34 316FG103</t>
  </si>
  <si>
    <t>#2025-12-05 13:31:15 316FG103</t>
  </si>
  <si>
    <t>#2025-12-05 13:31:46 316FG103</t>
  </si>
  <si>
    <t>#2025-12-05 13:32:19 316FG103</t>
  </si>
  <si>
    <t>#2025-12-05 13:32:42 316FG103</t>
  </si>
  <si>
    <t>#2025-12-05 13:33:25 316FG103</t>
  </si>
  <si>
    <t>#2025-12-05 13:33:59 316FG103</t>
  </si>
  <si>
    <t>#2025-12-05 13:34:22 316FG103</t>
  </si>
  <si>
    <t>#2025-12-05 13:34:47 316FG103</t>
  </si>
  <si>
    <t>#2025-12-05 13:35:09 316FG103</t>
  </si>
  <si>
    <t>#2025-12-05 13:40:12 316FG103</t>
  </si>
  <si>
    <t>L1.3 BLOFF</t>
  </si>
  <si>
    <t>#2025-12-05 13:41:13 316FG103</t>
  </si>
  <si>
    <t>#2025-12-05 13:41:46 316FG103</t>
  </si>
  <si>
    <t>#2025-12-05 13:42:10 316FG103</t>
  </si>
  <si>
    <t>#2025-12-05 13:42:43 316FG103</t>
  </si>
  <si>
    <t>#2025-12-05 13:43:20 316FG103</t>
  </si>
  <si>
    <t>#2025-12-05 13:44:02 316FG103</t>
  </si>
  <si>
    <t>#2025-12-05 13:44:32 316FG103</t>
  </si>
  <si>
    <t>#2025-12-05 13:45:04 316FG103</t>
  </si>
  <si>
    <t>#2025-12-05 13:45:32 316FG103</t>
  </si>
  <si>
    <t>#2025-12-05 13:45:54 316FG103</t>
  </si>
  <si>
    <t>#2025-12-05 14:01:15 316FG103</t>
  </si>
  <si>
    <t>Average</t>
  </si>
  <si>
    <t>Min</t>
  </si>
  <si>
    <t>Max</t>
  </si>
  <si>
    <t>Std.Dev.</t>
  </si>
  <si>
    <t>Target</t>
  </si>
  <si>
    <t>0</t>
  </si>
  <si>
    <t>Soja</t>
  </si>
  <si>
    <t>H</t>
  </si>
  <si>
    <t>PB</t>
  </si>
  <si>
    <t>Grasa bruta</t>
  </si>
  <si>
    <t>FB</t>
  </si>
  <si>
    <t>Cz</t>
  </si>
  <si>
    <t>MahalanobisH</t>
  </si>
  <si>
    <t>MahalanobisPB</t>
  </si>
  <si>
    <t>MahalanobisGrasa</t>
  </si>
  <si>
    <t>MahalanobisFB</t>
  </si>
  <si>
    <t>MahalanobisCz</t>
  </si>
  <si>
    <t>#2025-12-05 12:01:28 316FG103</t>
  </si>
  <si>
    <t>SOJA</t>
  </si>
  <si>
    <t>&gt;90.0</t>
  </si>
  <si>
    <t>#2025-12-05 12:02:05 316FG103</t>
  </si>
  <si>
    <t>#2025-12-05 12:02:30 316FG103</t>
  </si>
  <si>
    <t>#2025-12-05 12:10:46 316FG103</t>
  </si>
  <si>
    <t>#2025-12-05 12:11:19 316FG103</t>
  </si>
  <si>
    <t>#2025-12-05 12:11:45 316FG103</t>
  </si>
  <si>
    <t>#2025-12-05 13:50:06 316FG103</t>
  </si>
  <si>
    <t>#2025-12-05 13:50:48 316FG103</t>
  </si>
  <si>
    <t>#2025-12-05 13:51:27 316FG103</t>
  </si>
  <si>
    <t>#2025-12-05 13:52:03 316FG103</t>
  </si>
  <si>
    <t>#2025-12-05 14:02:01 316FG103</t>
  </si>
  <si>
    <t>#2025-12-05 14:02:31 316FG103</t>
  </si>
  <si>
    <t>#2025-12-05 14:02:58 316FG103</t>
  </si>
  <si>
    <t>Maiz</t>
  </si>
  <si>
    <t>GB</t>
  </si>
  <si>
    <t>ALM</t>
  </si>
  <si>
    <t>Aw</t>
  </si>
  <si>
    <t>MahalanobisGB</t>
  </si>
  <si>
    <t>MahalanobisALM</t>
  </si>
  <si>
    <t>MahalanobisAw</t>
  </si>
  <si>
    <t>#2025-12-05 12:03:08 316FG103</t>
  </si>
  <si>
    <t>MAIZ</t>
  </si>
  <si>
    <t>&gt;20.0</t>
  </si>
  <si>
    <t>#2025-12-05 12:03:36 316FG103</t>
  </si>
  <si>
    <t>#2025-12-05 12:04:01 316FG103</t>
  </si>
  <si>
    <t>#2025-12-05 12:12:09 316FG103</t>
  </si>
  <si>
    <t>#2025-12-05 12:12:41 316FG103</t>
  </si>
  <si>
    <t>#2025-12-05 12:13:07 316FG103</t>
  </si>
  <si>
    <t>#2025-12-05 13:52:27 316FG103</t>
  </si>
  <si>
    <t>#2025-12-05 13:52:58 316FG103</t>
  </si>
  <si>
    <t>#2025-12-05 13:53:26 316FG103</t>
  </si>
  <si>
    <t>#2025-12-05 14:03:28 316FG103</t>
  </si>
  <si>
    <t>#2025-12-05 14:03:51 316FG103</t>
  </si>
  <si>
    <t>#2025-12-05 14:04:13 316FG103</t>
  </si>
  <si>
    <t>TrigoTriti</t>
  </si>
  <si>
    <t>#2025-12-05 12:04:23 316FG103</t>
  </si>
  <si>
    <t>TRIGO</t>
  </si>
  <si>
    <t>&gt;11.5</t>
  </si>
  <si>
    <t>#2025-12-05 12:04:58 316FG103</t>
  </si>
  <si>
    <t>#2025-12-05 12:05:27 316FG103</t>
  </si>
  <si>
    <t>#2025-12-05 12:13:37 316FG103</t>
  </si>
  <si>
    <t>#2025-12-05 12:14:12 316FG103</t>
  </si>
  <si>
    <t>#2025-12-05 12:14:38 316FG103</t>
  </si>
  <si>
    <t>#2025-12-05 13:53:58 316FG103</t>
  </si>
  <si>
    <t>#2025-12-05 13:54:30 316FG103</t>
  </si>
  <si>
    <t>#2025-12-05 13:54:57 316FG103</t>
  </si>
  <si>
    <t>#2025-12-05 14:04:51 316FG103</t>
  </si>
  <si>
    <t>#2025-12-05 14:05:18 316FG103</t>
  </si>
  <si>
    <t>#2025-12-05 14:05:41 316FG103</t>
  </si>
  <si>
    <t>Colza</t>
  </si>
  <si>
    <t>Grasa total</t>
  </si>
  <si>
    <t>MahalanobisGT</t>
  </si>
  <si>
    <t>#2025-12-05 12:05:53 316FG103</t>
  </si>
  <si>
    <t>COLZA</t>
  </si>
  <si>
    <t>#2025-12-05 12:06:21 316FG103</t>
  </si>
  <si>
    <t>#2025-12-05 12:06:44 316FG103</t>
  </si>
  <si>
    <t>#2025-12-05 12:15:07 316FG103</t>
  </si>
  <si>
    <t>#2025-12-05 12:15:43 316FG103</t>
  </si>
  <si>
    <t>#2025-12-05 12:16:07 316FG103</t>
  </si>
  <si>
    <t>#2025-12-05 13:55:41 316FG103</t>
  </si>
  <si>
    <t>#2025-12-05 13:56:05 316FG103</t>
  </si>
  <si>
    <t>#2025-12-05 13:56:27 316FG103</t>
  </si>
  <si>
    <t>#2025-12-05 14:06:27 316FG103</t>
  </si>
  <si>
    <t>#2025-12-05 14:06:58 316FG103</t>
  </si>
  <si>
    <t>#2025-12-05 14:07:26 316FG103</t>
  </si>
  <si>
    <t>Cerdos</t>
  </si>
  <si>
    <t>Fosforo</t>
  </si>
  <si>
    <t>Calcio</t>
  </si>
  <si>
    <t>MahalanobisP</t>
  </si>
  <si>
    <t>MahalanobisCa</t>
  </si>
  <si>
    <t>#2025-12-05 12:07:10 316FG103</t>
  </si>
  <si>
    <t>PIENSO</t>
  </si>
  <si>
    <t>#2025-12-05 12:07:51 316FG103</t>
  </si>
  <si>
    <t>#2025-12-05 12:08:24 316FG103</t>
  </si>
  <si>
    <t>#2025-12-05 12:16:42 316FG103</t>
  </si>
  <si>
    <t>#2025-12-05 12:17:12 316FG103</t>
  </si>
  <si>
    <t>#2025-12-05 12:17:37 316FG103</t>
  </si>
  <si>
    <t>#2025-12-05 13:57:02 316FG103</t>
  </si>
  <si>
    <t>#2025-12-05 13:57:32 316FG103</t>
  </si>
  <si>
    <t>#2025-12-05 13:58:06 316FG103</t>
  </si>
  <si>
    <t>#2025-12-05 14:07:55 316FG103</t>
  </si>
  <si>
    <t>#2025-12-05 14:08:34 316FG103</t>
  </si>
  <si>
    <t>#2025-12-05 14:09:04 316FG103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</si>
</sst>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\ hh:mm:ss"/>
    <numFmt numFmtId="165" formatCode="hh:mm:ss"/>
    <numFmt numFmtId="166" formatCode="0.000"/>
    <numFmt numFmtId="167" formatCode="0.0000"/>
    <numFmt numFmtId="168" formatCode="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rial"/>
    </font>
    <font>
      <b/>
      <sz val="10"/>
      <name val="Arial"/>
    </font>
    <font>
      <b/>
      <i/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center"/>
    </xf>
    <xf numFmtId="166" fontId="0" fillId="0" borderId="0" xfId="0" applyNumberFormat="1"/>
    <xf numFmtId="167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0" fillId="0" borderId="0" xfId="0" applyFont="1" applyAlignment="1">
      <alignment horizontal="center"/>
    </xf>
    <xf numFmtId="166" fontId="18" fillId="0" borderId="11" xfId="0" applyNumberFormat="1" applyFont="1" applyBorder="1"/>
    <xf numFmtId="167" fontId="18" fillId="0" borderId="11" xfId="0" applyNumberFormat="1" applyFont="1" applyBorder="1"/>
    <xf numFmtId="168" fontId="0" fillId="0" borderId="0" xfId="0" applyNumberFormat="1"/>
    <xf numFmtId="2" fontId="0" fillId="0" borderId="0" xfId="0" applyNumberFormat="1"/>
    <xf numFmtId="168" fontId="18" fillId="0" borderId="11" xfId="0" applyNumberFormat="1" applyFont="1" applyBorder="1"/>
    <xf numFmtId="2" fontId="18" fillId="0" borderId="11" xfId="0" applyNumberFormat="1" applyFont="1" applyBorder="1"/>
    <xf numFmtId="0" fontId="19" fillId="33" borderId="10" xfId="0" applyFont="1" applyFill="1" applyBorder="1" applyAlignment="1">
      <alignment horizontal="center"/>
    </xf>
    <xf numFmtId="0" fontId="0" fillId="33" borderId="0" xfId="0" applyFill="1"/>
    <xf numFmtId="168" fontId="0" fillId="33" borderId="0" xfId="0" applyNumberFormat="1" applyFill="1"/>
    <xf numFmtId="2" fontId="0" fillId="33" borderId="0" xfId="0" applyNumberFormat="1" applyFill="1"/>
    <xf numFmtId="166" fontId="0" fillId="33" borderId="0" xfId="0" applyNumberFormat="1" applyFill="1"/>
    <xf numFmtId="164" fontId="0" fillId="33" borderId="0" xfId="0" applyNumberFormat="1" applyFill="1"/>
    <xf numFmtId="165" fontId="0" fillId="33" borderId="0" xfId="0" applyNumberFormat="1" applyFill="1"/>
    <xf numFmtId="0" fontId="20" fillId="33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6AF9-DCDF-44EF-B500-5BAEBB407B2E}">
  <dimension ref="A1:Q51"/>
  <sheetViews>
    <sheetView workbookViewId="0"/>
  </sheetViews>
  <sheetFormatPr baseColWidth="10" defaultRowHeight="15" x14ac:dyDescent="0.25"/>
  <cols>
    <col min="1" max="1" width="4" bestFit="1" customWidth="1"/>
    <col min="2" max="2" width="30.42578125" bestFit="1" customWidth="1"/>
    <col min="3" max="3" width="7.5703125" bestFit="1" customWidth="1"/>
    <col min="4" max="4" width="15.28515625" bestFit="1" customWidth="1"/>
    <col min="7" max="14" width="11.5703125" bestFit="1" customWidth="1"/>
    <col min="15" max="16" width="18.140625" bestFit="1" customWidth="1"/>
    <col min="17" max="17" width="11.5703125" bestFit="1" customWidth="1"/>
  </cols>
  <sheetData>
    <row r="1" spans="1:17" s="1" customFormat="1" x14ac:dyDescent="0.25">
      <c r="A1" s="1" t="s">
        <v>0</v>
      </c>
    </row>
    <row r="3" spans="1:1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spans="1:17" x14ac:dyDescent="0.25">
      <c r="A4" s="2">
        <v>1</v>
      </c>
      <c r="B4" t="s">
        <v>18</v>
      </c>
      <c r="C4" t="s">
        <v>19</v>
      </c>
      <c r="D4" t="s">
        <v>20</v>
      </c>
      <c r="E4" t="s">
        <v>21</v>
      </c>
      <c r="F4" t="s">
        <v>2</v>
      </c>
      <c r="G4" s="3">
        <v>25</v>
      </c>
      <c r="H4" s="4">
        <v>0.58809999999999996</v>
      </c>
      <c r="I4" s="4">
        <v>0.59670000000000001</v>
      </c>
      <c r="J4" s="4">
        <v>0.59560000000000002</v>
      </c>
      <c r="K4" s="4">
        <v>0.5958</v>
      </c>
      <c r="L4" s="4">
        <v>0.59819999999999995</v>
      </c>
      <c r="M4" s="4">
        <v>0.60029999999999994</v>
      </c>
      <c r="N4" s="4">
        <v>0.60119999999999996</v>
      </c>
      <c r="O4" s="5">
        <v>45996.500451388885</v>
      </c>
      <c r="P4" s="5">
        <v>45996.500775462962</v>
      </c>
      <c r="Q4" s="6">
        <v>3.1249999301508069E-4</v>
      </c>
    </row>
    <row r="5" spans="1:17" x14ac:dyDescent="0.25">
      <c r="A5" s="2">
        <v>2</v>
      </c>
      <c r="B5" t="s">
        <v>22</v>
      </c>
      <c r="C5" t="s">
        <v>19</v>
      </c>
      <c r="D5" t="s">
        <v>20</v>
      </c>
      <c r="E5" t="s">
        <v>21</v>
      </c>
      <c r="F5" t="s">
        <v>2</v>
      </c>
      <c r="G5" s="3">
        <v>25</v>
      </c>
      <c r="H5" s="4">
        <v>0.59189999999999998</v>
      </c>
      <c r="I5" s="4">
        <v>0.60060000000000002</v>
      </c>
      <c r="J5" s="4">
        <v>0.59950000000000003</v>
      </c>
      <c r="K5" s="4">
        <v>0.59960000000000002</v>
      </c>
      <c r="L5" s="4">
        <v>0.60209999999999997</v>
      </c>
      <c r="M5" s="4">
        <v>0.60419999999999996</v>
      </c>
      <c r="N5" s="4">
        <v>0.6048</v>
      </c>
      <c r="O5" s="5">
        <v>45996.506215277775</v>
      </c>
      <c r="P5" s="5">
        <v>45996.506527777776</v>
      </c>
      <c r="Q5" s="6">
        <v>3.1249999301508069E-4</v>
      </c>
    </row>
    <row r="6" spans="1:17" x14ac:dyDescent="0.25">
      <c r="A6" s="2">
        <v>3</v>
      </c>
      <c r="B6" t="s">
        <v>23</v>
      </c>
      <c r="C6" t="s">
        <v>19</v>
      </c>
      <c r="D6" t="s">
        <v>20</v>
      </c>
      <c r="E6" t="s">
        <v>24</v>
      </c>
      <c r="F6" t="s">
        <v>2</v>
      </c>
      <c r="G6" s="3">
        <v>25</v>
      </c>
      <c r="H6" s="4">
        <v>0.9788</v>
      </c>
      <c r="I6" s="4">
        <v>0.97909999999999997</v>
      </c>
      <c r="J6" s="4">
        <v>0.97919999999999996</v>
      </c>
      <c r="K6" s="4">
        <v>0.97919999999999996</v>
      </c>
      <c r="L6" s="4">
        <v>0.97919999999999996</v>
      </c>
      <c r="M6" s="4">
        <v>0.97950000000000004</v>
      </c>
      <c r="N6" s="4">
        <v>0.97909999999999997</v>
      </c>
      <c r="O6" s="5">
        <v>45996.507037037038</v>
      </c>
      <c r="P6" s="5">
        <v>45996.507187499999</v>
      </c>
      <c r="Q6" s="6">
        <v>1.6203703125938773E-4</v>
      </c>
    </row>
    <row r="7" spans="1:17" x14ac:dyDescent="0.25">
      <c r="A7" s="2">
        <v>4</v>
      </c>
      <c r="B7" t="s">
        <v>25</v>
      </c>
      <c r="C7" t="s">
        <v>19</v>
      </c>
      <c r="D7" t="s">
        <v>26</v>
      </c>
      <c r="E7" t="s">
        <v>24</v>
      </c>
      <c r="F7" t="s">
        <v>2</v>
      </c>
      <c r="G7" s="3">
        <v>25</v>
      </c>
      <c r="H7" s="4">
        <v>0.45029999999999998</v>
      </c>
      <c r="I7" s="4">
        <v>0.44590000000000002</v>
      </c>
      <c r="J7" s="4">
        <v>0.44569999999999999</v>
      </c>
      <c r="K7" s="4">
        <v>0.44550000000000001</v>
      </c>
      <c r="L7" s="4">
        <v>0.44419999999999998</v>
      </c>
      <c r="M7" s="4">
        <v>0.44409999999999999</v>
      </c>
      <c r="N7" s="4">
        <v>0.44400000000000001</v>
      </c>
      <c r="O7" s="5">
        <v>45996.512881944444</v>
      </c>
      <c r="P7" s="5">
        <v>45996.513113425928</v>
      </c>
      <c r="Q7" s="6">
        <v>2.3148147738538682E-4</v>
      </c>
    </row>
    <row r="8" spans="1:17" x14ac:dyDescent="0.25">
      <c r="A8" s="2">
        <v>5</v>
      </c>
      <c r="B8" t="s">
        <v>27</v>
      </c>
      <c r="C8" t="s">
        <v>19</v>
      </c>
      <c r="D8" t="s">
        <v>28</v>
      </c>
      <c r="E8" t="s">
        <v>24</v>
      </c>
      <c r="F8" t="s">
        <v>2</v>
      </c>
      <c r="G8" s="3">
        <v>25</v>
      </c>
      <c r="H8" s="4">
        <v>0.2324</v>
      </c>
      <c r="I8" s="4">
        <v>0.23830000000000001</v>
      </c>
      <c r="J8" s="4">
        <v>0.2399</v>
      </c>
      <c r="K8" s="4">
        <v>0.24030000000000001</v>
      </c>
      <c r="L8" s="4">
        <v>0.24279999999999999</v>
      </c>
      <c r="M8" s="4">
        <v>0.24709999999999999</v>
      </c>
      <c r="N8" s="4">
        <v>0.24840000000000001</v>
      </c>
      <c r="O8" s="5">
        <v>45996.513298611113</v>
      </c>
      <c r="P8" s="5">
        <v>45996.513449074075</v>
      </c>
      <c r="Q8" s="6">
        <v>1.6203703125938773E-4</v>
      </c>
    </row>
    <row r="9" spans="1:17" x14ac:dyDescent="0.25">
      <c r="A9" s="2">
        <v>6</v>
      </c>
      <c r="B9" t="s">
        <v>29</v>
      </c>
      <c r="C9" t="s">
        <v>19</v>
      </c>
      <c r="D9" t="s">
        <v>20</v>
      </c>
      <c r="E9" t="s">
        <v>30</v>
      </c>
      <c r="F9" t="s">
        <v>2</v>
      </c>
      <c r="G9" s="3">
        <v>25</v>
      </c>
      <c r="H9" s="7" t="s">
        <v>31</v>
      </c>
      <c r="I9" s="7" t="s">
        <v>31</v>
      </c>
      <c r="J9" s="7" t="s">
        <v>31</v>
      </c>
      <c r="K9" s="7" t="s">
        <v>31</v>
      </c>
      <c r="L9" s="7" t="s">
        <v>31</v>
      </c>
      <c r="M9" s="7" t="s">
        <v>31</v>
      </c>
      <c r="N9" s="7" t="s">
        <v>31</v>
      </c>
      <c r="O9" s="5">
        <v>45996.547256944446</v>
      </c>
      <c r="P9" s="5">
        <v>45996.547847222224</v>
      </c>
      <c r="Q9" s="6">
        <v>5.9027777751907706E-4</v>
      </c>
    </row>
    <row r="10" spans="1:17" x14ac:dyDescent="0.25">
      <c r="A10" s="2">
        <v>7</v>
      </c>
      <c r="B10" t="s">
        <v>32</v>
      </c>
      <c r="C10" t="s">
        <v>19</v>
      </c>
      <c r="D10" t="s">
        <v>20</v>
      </c>
      <c r="E10" t="s">
        <v>33</v>
      </c>
      <c r="F10" t="s">
        <v>2</v>
      </c>
      <c r="G10" s="3">
        <v>25</v>
      </c>
      <c r="H10" s="4">
        <v>0.96650000000000003</v>
      </c>
      <c r="I10" s="4">
        <v>0.96709999999999996</v>
      </c>
      <c r="J10" s="4">
        <v>0.96719999999999995</v>
      </c>
      <c r="K10" s="4">
        <v>0.96699999999999997</v>
      </c>
      <c r="L10" s="4">
        <v>0.96719999999999995</v>
      </c>
      <c r="M10" s="4">
        <v>0.9677</v>
      </c>
      <c r="N10" s="4">
        <v>0.96830000000000005</v>
      </c>
      <c r="O10" s="5">
        <v>45996.548402777778</v>
      </c>
      <c r="P10" s="5">
        <v>45996.548645833333</v>
      </c>
      <c r="Q10" s="6">
        <v>2.430555468890816E-4</v>
      </c>
    </row>
    <row r="11" spans="1:17" x14ac:dyDescent="0.25">
      <c r="A11" s="2">
        <v>8</v>
      </c>
      <c r="B11" t="s">
        <v>34</v>
      </c>
      <c r="C11" t="s">
        <v>19</v>
      </c>
      <c r="D11" t="s">
        <v>20</v>
      </c>
      <c r="E11" t="s">
        <v>33</v>
      </c>
      <c r="F11" t="s">
        <v>2</v>
      </c>
      <c r="G11" s="3">
        <v>25</v>
      </c>
      <c r="H11" s="4">
        <v>0.9778</v>
      </c>
      <c r="I11" s="4">
        <v>0.97860000000000003</v>
      </c>
      <c r="J11" s="4">
        <v>0.97870000000000001</v>
      </c>
      <c r="K11" s="4">
        <v>0.97840000000000005</v>
      </c>
      <c r="L11" s="4">
        <v>0.97850000000000004</v>
      </c>
      <c r="M11" s="4">
        <v>0.97899999999999998</v>
      </c>
      <c r="N11" s="4">
        <v>0.98029999999999995</v>
      </c>
      <c r="O11" s="5">
        <v>45996.548761574071</v>
      </c>
      <c r="P11" s="5">
        <v>45996.549004629633</v>
      </c>
      <c r="Q11" s="6">
        <v>2.430555468890816E-4</v>
      </c>
    </row>
    <row r="12" spans="1:17" x14ac:dyDescent="0.25">
      <c r="A12" s="2">
        <v>9</v>
      </c>
      <c r="B12" t="s">
        <v>35</v>
      </c>
      <c r="C12" t="s">
        <v>19</v>
      </c>
      <c r="D12" t="s">
        <v>20</v>
      </c>
      <c r="E12" t="s">
        <v>33</v>
      </c>
      <c r="F12" t="s">
        <v>2</v>
      </c>
      <c r="G12" s="3">
        <v>25</v>
      </c>
      <c r="H12" s="4">
        <v>0.97750000000000004</v>
      </c>
      <c r="I12" s="4">
        <v>0.97829999999999995</v>
      </c>
      <c r="J12" s="4">
        <v>0.97850000000000004</v>
      </c>
      <c r="K12" s="4">
        <v>0.97819999999999996</v>
      </c>
      <c r="L12" s="4">
        <v>0.97840000000000005</v>
      </c>
      <c r="M12" s="4">
        <v>0.9788</v>
      </c>
      <c r="N12" s="4">
        <v>0.98129999999999995</v>
      </c>
      <c r="O12" s="5">
        <v>45996.549131944441</v>
      </c>
      <c r="P12" s="5">
        <v>45996.549340277779</v>
      </c>
      <c r="Q12" s="6">
        <v>1.9675926887430251E-4</v>
      </c>
    </row>
    <row r="13" spans="1:17" x14ac:dyDescent="0.25">
      <c r="A13" s="2">
        <v>10</v>
      </c>
      <c r="B13" t="s">
        <v>36</v>
      </c>
      <c r="C13" t="s">
        <v>19</v>
      </c>
      <c r="D13" t="s">
        <v>37</v>
      </c>
      <c r="E13" t="s">
        <v>33</v>
      </c>
      <c r="F13" t="s">
        <v>2</v>
      </c>
      <c r="G13" s="3">
        <v>25</v>
      </c>
      <c r="H13" s="4">
        <v>0.4657</v>
      </c>
      <c r="I13" s="4">
        <v>0.48199999999999998</v>
      </c>
      <c r="J13" s="4">
        <v>0.47170000000000001</v>
      </c>
      <c r="K13" s="4">
        <v>0.4667</v>
      </c>
      <c r="L13" s="4">
        <v>0.40050000000000002</v>
      </c>
      <c r="M13" s="4">
        <v>0.4239</v>
      </c>
      <c r="N13" s="4">
        <v>0.41</v>
      </c>
      <c r="O13" s="5">
        <v>45996.550347222219</v>
      </c>
      <c r="P13" s="5">
        <v>45996.550474537034</v>
      </c>
      <c r="Q13" s="6">
        <v>1.1574075324460864E-4</v>
      </c>
    </row>
    <row r="14" spans="1:17" x14ac:dyDescent="0.25">
      <c r="A14" s="2">
        <v>11</v>
      </c>
      <c r="B14" t="s">
        <v>38</v>
      </c>
      <c r="C14" t="s">
        <v>19</v>
      </c>
      <c r="D14" t="s">
        <v>39</v>
      </c>
      <c r="E14" t="s">
        <v>33</v>
      </c>
      <c r="F14" t="s">
        <v>2</v>
      </c>
      <c r="G14" s="3">
        <v>25</v>
      </c>
      <c r="H14" s="4">
        <v>0.72189999999999999</v>
      </c>
      <c r="I14" s="4">
        <v>0.68940000000000001</v>
      </c>
      <c r="J14" s="4">
        <v>0.63270000000000004</v>
      </c>
      <c r="K14" s="4">
        <v>0.61150000000000004</v>
      </c>
      <c r="L14" s="4">
        <v>0.44769999999999999</v>
      </c>
      <c r="M14" s="4">
        <v>0.49640000000000001</v>
      </c>
      <c r="N14" s="4">
        <v>0.46129999999999999</v>
      </c>
      <c r="O14" s="5">
        <v>45996.550671296296</v>
      </c>
      <c r="P14" s="5">
        <v>45996.550833333335</v>
      </c>
      <c r="Q14" s="6">
        <v>1.6203703125938773E-4</v>
      </c>
    </row>
    <row r="15" spans="1:17" x14ac:dyDescent="0.25">
      <c r="A15" s="2">
        <v>12</v>
      </c>
      <c r="B15" t="s">
        <v>40</v>
      </c>
      <c r="C15" t="s">
        <v>19</v>
      </c>
      <c r="D15" t="s">
        <v>41</v>
      </c>
      <c r="E15" t="s">
        <v>33</v>
      </c>
      <c r="F15" t="s">
        <v>2</v>
      </c>
      <c r="G15" s="3">
        <v>25</v>
      </c>
      <c r="H15" s="4">
        <v>0.67559999999999998</v>
      </c>
      <c r="I15" s="4">
        <v>0.67130000000000001</v>
      </c>
      <c r="J15" s="4">
        <v>0.61709999999999998</v>
      </c>
      <c r="K15" s="4">
        <v>0.59760000000000002</v>
      </c>
      <c r="L15" s="4">
        <v>0.42370000000000002</v>
      </c>
      <c r="M15" s="4">
        <v>0.48949999999999999</v>
      </c>
      <c r="N15" s="4">
        <v>0.46560000000000001</v>
      </c>
      <c r="O15" s="5">
        <v>45996.550983796296</v>
      </c>
      <c r="P15" s="5">
        <v>45996.551134259258</v>
      </c>
      <c r="Q15" s="6">
        <v>1.6203703125938773E-4</v>
      </c>
    </row>
    <row r="16" spans="1:17" x14ac:dyDescent="0.25">
      <c r="A16" s="2">
        <v>13</v>
      </c>
      <c r="B16" t="s">
        <v>42</v>
      </c>
      <c r="C16" t="s">
        <v>19</v>
      </c>
      <c r="D16" t="s">
        <v>43</v>
      </c>
      <c r="E16" t="s">
        <v>33</v>
      </c>
      <c r="F16" t="s">
        <v>2</v>
      </c>
      <c r="G16" s="3">
        <v>25</v>
      </c>
      <c r="H16" s="4">
        <v>0.72030000000000005</v>
      </c>
      <c r="I16" s="4">
        <v>0.70199999999999996</v>
      </c>
      <c r="J16" s="4">
        <v>0.64410000000000001</v>
      </c>
      <c r="K16" s="4">
        <v>0.624</v>
      </c>
      <c r="L16" s="4">
        <v>0.4577</v>
      </c>
      <c r="M16" s="4">
        <v>0.51490000000000002</v>
      </c>
      <c r="N16" s="4">
        <v>0.49390000000000001</v>
      </c>
      <c r="O16" s="5">
        <v>45996.551261574074</v>
      </c>
      <c r="P16" s="5">
        <v>45996.551388888889</v>
      </c>
      <c r="Q16" s="6">
        <v>1.2731482274830341E-4</v>
      </c>
    </row>
    <row r="17" spans="1:17" x14ac:dyDescent="0.25">
      <c r="A17" s="2">
        <v>14</v>
      </c>
      <c r="B17" t="s">
        <v>44</v>
      </c>
      <c r="C17" t="s">
        <v>19</v>
      </c>
      <c r="D17" t="s">
        <v>45</v>
      </c>
      <c r="E17" t="s">
        <v>33</v>
      </c>
      <c r="F17" t="s">
        <v>2</v>
      </c>
      <c r="G17" s="3">
        <v>25</v>
      </c>
      <c r="H17" s="4">
        <v>0.59260000000000002</v>
      </c>
      <c r="I17" s="4">
        <v>0.62490000000000001</v>
      </c>
      <c r="J17" s="4">
        <v>0.60340000000000005</v>
      </c>
      <c r="K17" s="4">
        <v>0.59440000000000004</v>
      </c>
      <c r="L17" s="4">
        <v>0.48620000000000002</v>
      </c>
      <c r="M17" s="4">
        <v>0.53390000000000004</v>
      </c>
      <c r="N17" s="4">
        <v>0.5222</v>
      </c>
      <c r="O17" s="5">
        <v>45996.551539351851</v>
      </c>
      <c r="P17" s="5">
        <v>45996.551701388889</v>
      </c>
      <c r="Q17" s="6">
        <v>1.6203703125938773E-4</v>
      </c>
    </row>
    <row r="18" spans="1:17" x14ac:dyDescent="0.25">
      <c r="A18" s="2">
        <v>15</v>
      </c>
      <c r="B18" t="s">
        <v>46</v>
      </c>
      <c r="C18" t="s">
        <v>19</v>
      </c>
      <c r="D18" t="s">
        <v>26</v>
      </c>
      <c r="E18" t="s">
        <v>33</v>
      </c>
      <c r="F18" t="s">
        <v>2</v>
      </c>
      <c r="G18" s="3">
        <v>25</v>
      </c>
      <c r="H18" s="4">
        <v>0.4551</v>
      </c>
      <c r="I18" s="4">
        <v>0.45119999999999999</v>
      </c>
      <c r="J18" s="4">
        <v>0.45079999999999998</v>
      </c>
      <c r="K18" s="4">
        <v>0.4506</v>
      </c>
      <c r="L18" s="4">
        <v>0.44940000000000002</v>
      </c>
      <c r="M18" s="4">
        <v>0.4501</v>
      </c>
      <c r="N18" s="4">
        <v>0.4541</v>
      </c>
      <c r="O18" s="5">
        <v>45996.551851851851</v>
      </c>
      <c r="P18" s="5">
        <v>45996.552048611113</v>
      </c>
      <c r="Q18" s="6">
        <v>1.9675926887430251E-4</v>
      </c>
    </row>
    <row r="19" spans="1:17" x14ac:dyDescent="0.25">
      <c r="A19" s="2">
        <v>16</v>
      </c>
      <c r="B19" t="s">
        <v>47</v>
      </c>
      <c r="C19" t="s">
        <v>19</v>
      </c>
      <c r="D19" t="s">
        <v>26</v>
      </c>
      <c r="E19" t="s">
        <v>33</v>
      </c>
      <c r="F19" t="s">
        <v>2</v>
      </c>
      <c r="G19" s="3">
        <v>25</v>
      </c>
      <c r="H19" s="4">
        <v>0.45050000000000001</v>
      </c>
      <c r="I19" s="4">
        <v>0.44669999999999999</v>
      </c>
      <c r="J19" s="4">
        <v>0.44640000000000002</v>
      </c>
      <c r="K19" s="4">
        <v>0.44600000000000001</v>
      </c>
      <c r="L19" s="4">
        <v>0.44500000000000001</v>
      </c>
      <c r="M19" s="4">
        <v>0.4456</v>
      </c>
      <c r="N19" s="4">
        <v>0.44979999999999998</v>
      </c>
      <c r="O19" s="5">
        <v>45996.552314814813</v>
      </c>
      <c r="P19" s="5">
        <v>45996.552511574075</v>
      </c>
      <c r="Q19" s="6">
        <v>1.9675926887430251E-4</v>
      </c>
    </row>
    <row r="20" spans="1:17" x14ac:dyDescent="0.25">
      <c r="A20" s="2">
        <v>17</v>
      </c>
      <c r="B20" t="s">
        <v>48</v>
      </c>
      <c r="C20" t="s">
        <v>19</v>
      </c>
      <c r="D20" t="s">
        <v>28</v>
      </c>
      <c r="E20" t="s">
        <v>33</v>
      </c>
      <c r="F20" t="s">
        <v>2</v>
      </c>
      <c r="G20" s="3">
        <v>25</v>
      </c>
      <c r="H20" s="4">
        <v>0.23380000000000001</v>
      </c>
      <c r="I20" s="4">
        <v>0.24</v>
      </c>
      <c r="J20" s="4">
        <v>0.24160000000000001</v>
      </c>
      <c r="K20" s="4">
        <v>0.2419</v>
      </c>
      <c r="L20" s="4">
        <v>0.24460000000000001</v>
      </c>
      <c r="M20" s="4">
        <v>0.24940000000000001</v>
      </c>
      <c r="N20" s="4">
        <v>0.25369999999999998</v>
      </c>
      <c r="O20" s="5">
        <v>45996.552812499998</v>
      </c>
      <c r="P20" s="5">
        <v>45996.553020833337</v>
      </c>
      <c r="Q20" s="6">
        <v>1.9675926887430251E-4</v>
      </c>
    </row>
    <row r="21" spans="1:17" x14ac:dyDescent="0.25">
      <c r="A21" s="2">
        <v>18</v>
      </c>
      <c r="B21" t="s">
        <v>49</v>
      </c>
      <c r="C21" t="s">
        <v>19</v>
      </c>
      <c r="D21" t="s">
        <v>28</v>
      </c>
      <c r="E21" t="s">
        <v>33</v>
      </c>
      <c r="F21" t="s">
        <v>2</v>
      </c>
      <c r="G21" s="3">
        <v>25</v>
      </c>
      <c r="H21" s="4">
        <v>0.23369999999999999</v>
      </c>
      <c r="I21" s="4">
        <v>0.2399</v>
      </c>
      <c r="J21" s="4">
        <v>0.24149999999999999</v>
      </c>
      <c r="K21" s="4">
        <v>0.24179999999999999</v>
      </c>
      <c r="L21" s="4">
        <v>0.24460000000000001</v>
      </c>
      <c r="M21" s="4">
        <v>0.24929999999999999</v>
      </c>
      <c r="N21" s="4">
        <v>0.25390000000000001</v>
      </c>
      <c r="O21" s="5">
        <v>45996.553148148145</v>
      </c>
      <c r="P21" s="5">
        <v>45996.553472222222</v>
      </c>
      <c r="Q21" s="6">
        <v>3.2407406251877546E-4</v>
      </c>
    </row>
    <row r="22" spans="1:17" x14ac:dyDescent="0.25">
      <c r="A22" s="2">
        <v>19</v>
      </c>
      <c r="B22" t="s">
        <v>50</v>
      </c>
      <c r="C22" t="s">
        <v>19</v>
      </c>
      <c r="D22" t="s">
        <v>20</v>
      </c>
      <c r="E22" t="s">
        <v>33</v>
      </c>
      <c r="F22" t="s">
        <v>2</v>
      </c>
      <c r="G22" s="3">
        <v>25</v>
      </c>
      <c r="H22" s="4">
        <v>0.98560000000000003</v>
      </c>
      <c r="I22" s="4">
        <v>0.98709999999999998</v>
      </c>
      <c r="J22" s="4">
        <v>0.98719999999999997</v>
      </c>
      <c r="K22" s="4">
        <v>0.98680000000000001</v>
      </c>
      <c r="L22" s="4">
        <v>0.98750000000000004</v>
      </c>
      <c r="M22" s="4">
        <v>0.98770000000000002</v>
      </c>
      <c r="N22" s="4">
        <v>0.98760000000000003</v>
      </c>
      <c r="O22" s="5">
        <v>45996.562303240738</v>
      </c>
      <c r="P22" s="5">
        <v>45996.562465277777</v>
      </c>
      <c r="Q22" s="6">
        <v>1.6203703125938773E-4</v>
      </c>
    </row>
    <row r="23" spans="1:17" x14ac:dyDescent="0.25">
      <c r="A23" s="2">
        <v>20</v>
      </c>
      <c r="B23" t="s">
        <v>51</v>
      </c>
      <c r="C23" t="s">
        <v>19</v>
      </c>
      <c r="D23" t="s">
        <v>20</v>
      </c>
      <c r="E23" t="s">
        <v>33</v>
      </c>
      <c r="F23" t="s">
        <v>2</v>
      </c>
      <c r="G23" s="3">
        <v>25</v>
      </c>
      <c r="H23" s="4">
        <v>0.98360000000000003</v>
      </c>
      <c r="I23" s="4">
        <v>0.98519999999999996</v>
      </c>
      <c r="J23" s="4">
        <v>0.98519999999999996</v>
      </c>
      <c r="K23" s="4">
        <v>0.9849</v>
      </c>
      <c r="L23" s="4">
        <v>0.98540000000000005</v>
      </c>
      <c r="M23" s="4">
        <v>0.98570000000000002</v>
      </c>
      <c r="N23" s="4">
        <v>0.98560000000000003</v>
      </c>
      <c r="O23" s="5">
        <v>45996.562604166669</v>
      </c>
      <c r="P23" s="5">
        <v>45996.562777777777</v>
      </c>
      <c r="Q23" s="6">
        <v>1.6203703125938773E-4</v>
      </c>
    </row>
    <row r="24" spans="1:17" x14ac:dyDescent="0.25">
      <c r="A24" s="2">
        <v>21</v>
      </c>
      <c r="B24" t="s">
        <v>52</v>
      </c>
      <c r="C24" t="s">
        <v>19</v>
      </c>
      <c r="D24" t="s">
        <v>20</v>
      </c>
      <c r="E24" t="s">
        <v>33</v>
      </c>
      <c r="F24" t="s">
        <v>2</v>
      </c>
      <c r="G24" s="3">
        <v>25</v>
      </c>
      <c r="H24" s="4">
        <v>0.98340000000000005</v>
      </c>
      <c r="I24" s="4">
        <v>0.98499999999999999</v>
      </c>
      <c r="J24" s="4">
        <v>0.98499999999999999</v>
      </c>
      <c r="K24" s="4">
        <v>0.98470000000000002</v>
      </c>
      <c r="L24" s="4">
        <v>0.98529999999999995</v>
      </c>
      <c r="M24" s="4">
        <v>0.98560000000000003</v>
      </c>
      <c r="N24" s="4">
        <v>0.98570000000000002</v>
      </c>
      <c r="O24" s="5">
        <v>45996.562893518516</v>
      </c>
      <c r="P24" s="5">
        <v>45996.563067129631</v>
      </c>
      <c r="Q24" s="6">
        <v>1.6203703125938773E-4</v>
      </c>
    </row>
    <row r="25" spans="1:17" x14ac:dyDescent="0.25">
      <c r="A25" s="2">
        <v>22</v>
      </c>
      <c r="B25" t="s">
        <v>53</v>
      </c>
      <c r="C25" t="s">
        <v>19</v>
      </c>
      <c r="D25" t="s">
        <v>26</v>
      </c>
      <c r="E25" t="s">
        <v>33</v>
      </c>
      <c r="F25" t="s">
        <v>2</v>
      </c>
      <c r="G25" s="3">
        <v>25</v>
      </c>
      <c r="H25" s="4">
        <v>0.45469999999999999</v>
      </c>
      <c r="I25" s="4">
        <v>0.45140000000000002</v>
      </c>
      <c r="J25" s="4">
        <v>0.45129999999999998</v>
      </c>
      <c r="K25" s="4">
        <v>0.45090000000000002</v>
      </c>
      <c r="L25" s="4">
        <v>0.44969999999999999</v>
      </c>
      <c r="M25" s="4">
        <v>0.45019999999999999</v>
      </c>
      <c r="N25" s="4">
        <v>0.45069999999999999</v>
      </c>
      <c r="O25" s="5">
        <v>45996.563368055555</v>
      </c>
      <c r="P25" s="5">
        <v>45996.563530092593</v>
      </c>
      <c r="Q25" s="6">
        <v>1.6203703125938773E-4</v>
      </c>
    </row>
    <row r="26" spans="1:17" x14ac:dyDescent="0.25">
      <c r="A26" s="2">
        <v>23</v>
      </c>
      <c r="B26" t="s">
        <v>54</v>
      </c>
      <c r="C26" t="s">
        <v>19</v>
      </c>
      <c r="D26" t="s">
        <v>26</v>
      </c>
      <c r="E26" t="s">
        <v>33</v>
      </c>
      <c r="F26" t="s">
        <v>2</v>
      </c>
      <c r="G26" s="3">
        <v>25</v>
      </c>
      <c r="H26" s="4">
        <v>0.4551</v>
      </c>
      <c r="I26" s="4">
        <v>0.45169999999999999</v>
      </c>
      <c r="J26" s="4">
        <v>0.45150000000000001</v>
      </c>
      <c r="K26" s="4">
        <v>0.45140000000000002</v>
      </c>
      <c r="L26" s="4">
        <v>0.4501</v>
      </c>
      <c r="M26" s="4">
        <v>0.4506</v>
      </c>
      <c r="N26" s="4">
        <v>0.4511</v>
      </c>
      <c r="O26" s="5">
        <v>45996.563726851855</v>
      </c>
      <c r="P26" s="5">
        <v>45996.563842592594</v>
      </c>
      <c r="Q26" s="6">
        <v>1.1574075324460864E-4</v>
      </c>
    </row>
    <row r="27" spans="1:17" x14ac:dyDescent="0.25">
      <c r="A27" s="2">
        <v>24</v>
      </c>
      <c r="B27" t="s">
        <v>55</v>
      </c>
      <c r="C27" t="s">
        <v>19</v>
      </c>
      <c r="D27" t="s">
        <v>28</v>
      </c>
      <c r="E27" t="s">
        <v>33</v>
      </c>
      <c r="F27" t="s">
        <v>2</v>
      </c>
      <c r="G27" s="3">
        <v>25</v>
      </c>
      <c r="H27" s="4">
        <v>0.2369</v>
      </c>
      <c r="I27" s="4">
        <v>0.24349999999999999</v>
      </c>
      <c r="J27" s="4">
        <v>0.24510000000000001</v>
      </c>
      <c r="K27" s="4">
        <v>0.24540000000000001</v>
      </c>
      <c r="L27" s="4">
        <v>0.2482</v>
      </c>
      <c r="M27" s="4">
        <v>0.25269999999999998</v>
      </c>
      <c r="N27" s="4">
        <v>0.25480000000000003</v>
      </c>
      <c r="O27" s="5">
        <v>45996.564108796294</v>
      </c>
      <c r="P27" s="5">
        <v>45996.564236111109</v>
      </c>
      <c r="Q27" s="6">
        <v>1.2731482274830341E-4</v>
      </c>
    </row>
    <row r="28" spans="1:17" x14ac:dyDescent="0.25">
      <c r="A28" s="2">
        <v>25</v>
      </c>
      <c r="B28" t="s">
        <v>56</v>
      </c>
      <c r="C28" t="s">
        <v>19</v>
      </c>
      <c r="D28" t="s">
        <v>28</v>
      </c>
      <c r="E28" t="s">
        <v>33</v>
      </c>
      <c r="F28" t="s">
        <v>2</v>
      </c>
      <c r="G28" s="3">
        <v>25</v>
      </c>
      <c r="H28" s="4">
        <v>0.2336</v>
      </c>
      <c r="I28" s="4">
        <v>0.24010000000000001</v>
      </c>
      <c r="J28" s="4">
        <v>0.2417</v>
      </c>
      <c r="K28" s="4">
        <v>0.24210000000000001</v>
      </c>
      <c r="L28" s="4">
        <v>0.24479999999999999</v>
      </c>
      <c r="M28" s="4">
        <v>0.24940000000000001</v>
      </c>
      <c r="N28" s="4">
        <v>0.25119999999999998</v>
      </c>
      <c r="O28" s="5">
        <v>45996.564375000002</v>
      </c>
      <c r="P28" s="5">
        <v>45996.564502314817</v>
      </c>
      <c r="Q28" s="6">
        <v>1.1574075324460864E-4</v>
      </c>
    </row>
    <row r="29" spans="1:17" x14ac:dyDescent="0.25">
      <c r="A29" s="2">
        <v>26</v>
      </c>
      <c r="B29" t="s">
        <v>57</v>
      </c>
      <c r="C29" t="s">
        <v>19</v>
      </c>
      <c r="D29" t="s">
        <v>37</v>
      </c>
      <c r="E29" t="s">
        <v>33</v>
      </c>
      <c r="F29" t="s">
        <v>2</v>
      </c>
      <c r="G29" s="3">
        <v>25</v>
      </c>
      <c r="H29" s="4">
        <v>0.46460000000000001</v>
      </c>
      <c r="I29" s="4">
        <v>0.48159999999999997</v>
      </c>
      <c r="J29" s="4">
        <v>0.47149999999999997</v>
      </c>
      <c r="K29" s="4">
        <v>0.46660000000000001</v>
      </c>
      <c r="L29" s="4">
        <v>0.40079999999999999</v>
      </c>
      <c r="M29" s="4">
        <v>0.42380000000000001</v>
      </c>
      <c r="N29" s="4">
        <v>0.40860000000000002</v>
      </c>
      <c r="O29" s="5">
        <v>45996.564872685187</v>
      </c>
      <c r="P29" s="5">
        <v>45996.565000000002</v>
      </c>
      <c r="Q29" s="6">
        <v>1.2731482274830341E-4</v>
      </c>
    </row>
    <row r="30" spans="1:17" x14ac:dyDescent="0.25">
      <c r="A30" s="2">
        <v>27</v>
      </c>
      <c r="B30" t="s">
        <v>58</v>
      </c>
      <c r="C30" t="s">
        <v>19</v>
      </c>
      <c r="D30" t="s">
        <v>39</v>
      </c>
      <c r="E30" t="s">
        <v>33</v>
      </c>
      <c r="F30" t="s">
        <v>2</v>
      </c>
      <c r="G30" s="3">
        <v>25</v>
      </c>
      <c r="H30" s="4">
        <v>0.72250000000000003</v>
      </c>
      <c r="I30" s="4">
        <v>0.69069999999999998</v>
      </c>
      <c r="J30" s="4">
        <v>0.63380000000000003</v>
      </c>
      <c r="K30" s="4">
        <v>0.61260000000000003</v>
      </c>
      <c r="L30" s="4">
        <v>0.44869999999999999</v>
      </c>
      <c r="M30" s="4">
        <v>0.49740000000000001</v>
      </c>
      <c r="N30" s="4">
        <v>0.4602</v>
      </c>
      <c r="O30" s="5">
        <v>45996.565266203703</v>
      </c>
      <c r="P30" s="5">
        <v>45996.565393518518</v>
      </c>
      <c r="Q30" s="6">
        <v>1.1574075324460864E-4</v>
      </c>
    </row>
    <row r="31" spans="1:17" x14ac:dyDescent="0.25">
      <c r="A31" s="2">
        <v>28</v>
      </c>
      <c r="B31" t="s">
        <v>59</v>
      </c>
      <c r="C31" t="s">
        <v>19</v>
      </c>
      <c r="D31" t="s">
        <v>41</v>
      </c>
      <c r="E31" t="s">
        <v>33</v>
      </c>
      <c r="F31" t="s">
        <v>2</v>
      </c>
      <c r="G31" s="3">
        <v>25</v>
      </c>
      <c r="H31" s="4">
        <v>0.67689999999999995</v>
      </c>
      <c r="I31" s="4">
        <v>0.67320000000000002</v>
      </c>
      <c r="J31" s="4">
        <v>0.61890000000000001</v>
      </c>
      <c r="K31" s="4">
        <v>0.59930000000000005</v>
      </c>
      <c r="L31" s="4">
        <v>0.4254</v>
      </c>
      <c r="M31" s="4">
        <v>0.49120000000000003</v>
      </c>
      <c r="N31" s="4">
        <v>0.46479999999999999</v>
      </c>
      <c r="O31" s="5">
        <v>45996.565532407411</v>
      </c>
      <c r="P31" s="5">
        <v>45996.565694444442</v>
      </c>
      <c r="Q31" s="6">
        <v>1.6203703125938773E-4</v>
      </c>
    </row>
    <row r="32" spans="1:17" x14ac:dyDescent="0.25">
      <c r="A32" s="2">
        <v>29</v>
      </c>
      <c r="B32" t="s">
        <v>60</v>
      </c>
      <c r="C32" t="s">
        <v>19</v>
      </c>
      <c r="D32" t="s">
        <v>43</v>
      </c>
      <c r="E32" t="s">
        <v>33</v>
      </c>
      <c r="F32" t="s">
        <v>2</v>
      </c>
      <c r="G32" s="3">
        <v>25</v>
      </c>
      <c r="H32" s="4">
        <v>0.72140000000000004</v>
      </c>
      <c r="I32" s="4">
        <v>0.7036</v>
      </c>
      <c r="J32" s="4">
        <v>0.64559999999999995</v>
      </c>
      <c r="K32" s="4">
        <v>0.62539999999999996</v>
      </c>
      <c r="L32" s="4">
        <v>0.4587</v>
      </c>
      <c r="M32" s="4">
        <v>0.51619999999999999</v>
      </c>
      <c r="N32" s="4">
        <v>0.4924</v>
      </c>
      <c r="O32" s="5">
        <v>45996.565821759257</v>
      </c>
      <c r="P32" s="5">
        <v>45996.565949074073</v>
      </c>
      <c r="Q32" s="6">
        <v>1.2731482274830341E-4</v>
      </c>
    </row>
    <row r="33" spans="1:17" x14ac:dyDescent="0.25">
      <c r="A33" s="2">
        <v>30</v>
      </c>
      <c r="B33" t="s">
        <v>61</v>
      </c>
      <c r="C33" t="s">
        <v>19</v>
      </c>
      <c r="D33" t="s">
        <v>45</v>
      </c>
      <c r="E33" t="s">
        <v>33</v>
      </c>
      <c r="F33" t="s">
        <v>2</v>
      </c>
      <c r="G33" s="3">
        <v>25</v>
      </c>
      <c r="H33" s="4">
        <v>0.58430000000000004</v>
      </c>
      <c r="I33" s="4">
        <v>0.61719999999999997</v>
      </c>
      <c r="J33" s="4">
        <v>0.59640000000000004</v>
      </c>
      <c r="K33" s="4">
        <v>0.58760000000000001</v>
      </c>
      <c r="L33" s="4">
        <v>0.48170000000000002</v>
      </c>
      <c r="M33" s="4">
        <v>0.52849999999999997</v>
      </c>
      <c r="N33" s="4">
        <v>0.5141</v>
      </c>
      <c r="O33" s="5">
        <v>45996.566076388888</v>
      </c>
      <c r="P33" s="5">
        <v>45996.566238425927</v>
      </c>
      <c r="Q33" s="6">
        <v>1.6203703125938773E-4</v>
      </c>
    </row>
    <row r="34" spans="1:17" x14ac:dyDescent="0.25">
      <c r="A34" s="2">
        <v>31</v>
      </c>
      <c r="B34" t="s">
        <v>62</v>
      </c>
      <c r="C34" t="s">
        <v>19</v>
      </c>
      <c r="D34" t="s">
        <v>20</v>
      </c>
      <c r="E34" t="s">
        <v>63</v>
      </c>
      <c r="F34" t="s">
        <v>2</v>
      </c>
      <c r="G34" s="3">
        <v>25</v>
      </c>
      <c r="H34" s="4">
        <v>0.98850000000000005</v>
      </c>
      <c r="I34" s="4">
        <v>0.98970000000000002</v>
      </c>
      <c r="J34" s="4">
        <v>0.98980000000000001</v>
      </c>
      <c r="K34" s="4">
        <v>0.98950000000000005</v>
      </c>
      <c r="L34" s="4">
        <v>0.98980000000000001</v>
      </c>
      <c r="M34" s="4">
        <v>0.99009999999999998</v>
      </c>
      <c r="N34" s="4">
        <v>0.98980000000000001</v>
      </c>
      <c r="O34" s="5">
        <v>45996.56958333333</v>
      </c>
      <c r="P34" s="5">
        <v>45996.570138888892</v>
      </c>
      <c r="Q34" s="6">
        <v>5.5555556900799274E-4</v>
      </c>
    </row>
    <row r="35" spans="1:17" x14ac:dyDescent="0.25">
      <c r="A35" s="2">
        <v>32</v>
      </c>
      <c r="B35" t="s">
        <v>64</v>
      </c>
      <c r="C35" t="s">
        <v>19</v>
      </c>
      <c r="D35" t="s">
        <v>20</v>
      </c>
      <c r="E35" t="s">
        <v>63</v>
      </c>
      <c r="F35" t="s">
        <v>2</v>
      </c>
      <c r="G35" s="3">
        <v>25</v>
      </c>
      <c r="H35" s="4">
        <v>0.98660000000000003</v>
      </c>
      <c r="I35" s="4">
        <v>0.98809999999999998</v>
      </c>
      <c r="J35" s="4">
        <v>0.98809999999999998</v>
      </c>
      <c r="K35" s="4">
        <v>0.98809999999999998</v>
      </c>
      <c r="L35" s="4">
        <v>0.98839999999999995</v>
      </c>
      <c r="M35" s="4">
        <v>0.98880000000000001</v>
      </c>
      <c r="N35" s="4">
        <v>0.98880000000000001</v>
      </c>
      <c r="O35" s="5">
        <v>45996.570289351854</v>
      </c>
      <c r="P35" s="5">
        <v>45996.570451388892</v>
      </c>
      <c r="Q35" s="6">
        <v>1.6203703125938773E-4</v>
      </c>
    </row>
    <row r="36" spans="1:17" x14ac:dyDescent="0.25">
      <c r="A36" s="2">
        <v>33</v>
      </c>
      <c r="B36" t="s">
        <v>65</v>
      </c>
      <c r="C36" t="s">
        <v>19</v>
      </c>
      <c r="D36" t="s">
        <v>26</v>
      </c>
      <c r="E36" t="s">
        <v>63</v>
      </c>
      <c r="F36" t="s">
        <v>2</v>
      </c>
      <c r="G36" s="3">
        <v>25</v>
      </c>
      <c r="H36" s="4">
        <v>0.4597</v>
      </c>
      <c r="I36" s="4">
        <v>0.45619999999999999</v>
      </c>
      <c r="J36" s="4">
        <v>0.45579999999999998</v>
      </c>
      <c r="K36" s="4">
        <v>0.45569999999999999</v>
      </c>
      <c r="L36" s="4">
        <v>0.4546</v>
      </c>
      <c r="M36" s="4">
        <v>0.4551</v>
      </c>
      <c r="N36" s="4">
        <v>0.45569999999999999</v>
      </c>
      <c r="O36" s="5">
        <v>45996.570671296293</v>
      </c>
      <c r="P36" s="5">
        <v>45996.570798611108</v>
      </c>
      <c r="Q36" s="6">
        <v>1.1574075324460864E-4</v>
      </c>
    </row>
    <row r="37" spans="1:17" x14ac:dyDescent="0.25">
      <c r="A37" s="2">
        <v>34</v>
      </c>
      <c r="B37" t="s">
        <v>66</v>
      </c>
      <c r="C37" t="s">
        <v>19</v>
      </c>
      <c r="D37" t="s">
        <v>26</v>
      </c>
      <c r="E37" t="s">
        <v>63</v>
      </c>
      <c r="F37" t="s">
        <v>2</v>
      </c>
      <c r="G37" s="3">
        <v>25</v>
      </c>
      <c r="H37" s="4">
        <v>0.45169999999999999</v>
      </c>
      <c r="I37" s="4">
        <v>0.44840000000000002</v>
      </c>
      <c r="J37" s="4">
        <v>0.44819999999999999</v>
      </c>
      <c r="K37" s="4">
        <v>0.44800000000000001</v>
      </c>
      <c r="L37" s="4">
        <v>0.44700000000000001</v>
      </c>
      <c r="M37" s="4">
        <v>0.44740000000000002</v>
      </c>
      <c r="N37" s="4">
        <v>0.44800000000000001</v>
      </c>
      <c r="O37" s="5">
        <v>45996.570949074077</v>
      </c>
      <c r="P37" s="5">
        <v>45996.571064814816</v>
      </c>
      <c r="Q37" s="6">
        <v>1.2731482274830341E-4</v>
      </c>
    </row>
    <row r="38" spans="1:17" x14ac:dyDescent="0.25">
      <c r="A38" s="2">
        <v>35</v>
      </c>
      <c r="B38" t="s">
        <v>67</v>
      </c>
      <c r="C38" t="s">
        <v>19</v>
      </c>
      <c r="D38" t="s">
        <v>28</v>
      </c>
      <c r="E38" t="s">
        <v>63</v>
      </c>
      <c r="F38" t="s">
        <v>2</v>
      </c>
      <c r="G38" s="3">
        <v>25</v>
      </c>
      <c r="H38" s="4">
        <v>0.2339</v>
      </c>
      <c r="I38" s="4">
        <v>0.2404</v>
      </c>
      <c r="J38" s="4">
        <v>0.24199999999999999</v>
      </c>
      <c r="K38" s="4">
        <v>0.2424</v>
      </c>
      <c r="L38" s="4">
        <v>0.24510000000000001</v>
      </c>
      <c r="M38" s="4">
        <v>0.24979999999999999</v>
      </c>
      <c r="N38" s="4">
        <v>0.25159999999999999</v>
      </c>
      <c r="O38" s="5">
        <v>45996.571331018517</v>
      </c>
      <c r="P38" s="5">
        <v>45996.571574074071</v>
      </c>
      <c r="Q38" s="6">
        <v>2.430555468890816E-4</v>
      </c>
    </row>
    <row r="39" spans="1:17" x14ac:dyDescent="0.25">
      <c r="A39" s="2">
        <v>36</v>
      </c>
      <c r="B39" t="s">
        <v>68</v>
      </c>
      <c r="C39" t="s">
        <v>19</v>
      </c>
      <c r="D39" t="s">
        <v>28</v>
      </c>
      <c r="E39" t="s">
        <v>63</v>
      </c>
      <c r="F39" t="s">
        <v>2</v>
      </c>
      <c r="G39" s="3">
        <v>25</v>
      </c>
      <c r="H39" s="4">
        <v>0.2326</v>
      </c>
      <c r="I39" s="4">
        <v>0.23910000000000001</v>
      </c>
      <c r="J39" s="4">
        <v>0.24060000000000001</v>
      </c>
      <c r="K39" s="4">
        <v>0.24099999999999999</v>
      </c>
      <c r="L39" s="4">
        <v>0.2437</v>
      </c>
      <c r="M39" s="4">
        <v>0.24840000000000001</v>
      </c>
      <c r="N39" s="4">
        <v>0.25019999999999998</v>
      </c>
      <c r="O39" s="5">
        <v>45996.571759259263</v>
      </c>
      <c r="P39" s="5">
        <v>45996.57199074074</v>
      </c>
      <c r="Q39" s="6">
        <v>2.430555468890816E-4</v>
      </c>
    </row>
    <row r="40" spans="1:17" x14ac:dyDescent="0.25">
      <c r="A40" s="2">
        <v>37</v>
      </c>
      <c r="B40" t="s">
        <v>69</v>
      </c>
      <c r="C40" t="s">
        <v>19</v>
      </c>
      <c r="D40" t="s">
        <v>37</v>
      </c>
      <c r="E40" t="s">
        <v>63</v>
      </c>
      <c r="F40" t="s">
        <v>2</v>
      </c>
      <c r="G40" s="3">
        <v>25</v>
      </c>
      <c r="H40" s="4">
        <v>0.4677</v>
      </c>
      <c r="I40" s="4">
        <v>0.4849</v>
      </c>
      <c r="J40" s="4">
        <v>0.47439999999999999</v>
      </c>
      <c r="K40" s="4">
        <v>0.46949999999999997</v>
      </c>
      <c r="L40" s="4">
        <v>0.40350000000000003</v>
      </c>
      <c r="M40" s="4">
        <v>0.42699999999999999</v>
      </c>
      <c r="N40" s="4">
        <v>0.41120000000000001</v>
      </c>
      <c r="O40" s="5">
        <v>45996.572245370371</v>
      </c>
      <c r="P40" s="5">
        <v>45996.572395833333</v>
      </c>
      <c r="Q40" s="6">
        <v>1.6203703125938773E-4</v>
      </c>
    </row>
    <row r="41" spans="1:17" x14ac:dyDescent="0.25">
      <c r="A41" s="2">
        <v>38</v>
      </c>
      <c r="B41" t="s">
        <v>70</v>
      </c>
      <c r="C41" t="s">
        <v>19</v>
      </c>
      <c r="D41" t="s">
        <v>39</v>
      </c>
      <c r="E41" t="s">
        <v>63</v>
      </c>
      <c r="F41" t="s">
        <v>2</v>
      </c>
      <c r="G41" s="3">
        <v>25</v>
      </c>
      <c r="H41" s="4">
        <v>0.72450000000000003</v>
      </c>
      <c r="I41" s="4">
        <v>0.69259999999999999</v>
      </c>
      <c r="J41" s="4">
        <v>0.63519999999999999</v>
      </c>
      <c r="K41" s="4">
        <v>0.61399999999999999</v>
      </c>
      <c r="L41" s="4">
        <v>0.4496</v>
      </c>
      <c r="M41" s="4">
        <v>0.49869999999999998</v>
      </c>
      <c r="N41" s="4">
        <v>0.46110000000000001</v>
      </c>
      <c r="O41" s="5">
        <v>45996.572592592594</v>
      </c>
      <c r="P41" s="5">
        <v>45996.572835648149</v>
      </c>
      <c r="Q41" s="6">
        <v>2.3148147738538682E-4</v>
      </c>
    </row>
    <row r="42" spans="1:17" x14ac:dyDescent="0.25">
      <c r="A42" s="2">
        <v>39</v>
      </c>
      <c r="B42" t="s">
        <v>71</v>
      </c>
      <c r="C42" t="s">
        <v>19</v>
      </c>
      <c r="D42" t="s">
        <v>41</v>
      </c>
      <c r="E42" t="s">
        <v>63</v>
      </c>
      <c r="F42" t="s">
        <v>2</v>
      </c>
      <c r="G42" s="3">
        <v>25</v>
      </c>
      <c r="H42" s="4">
        <v>0.6804</v>
      </c>
      <c r="I42" s="4">
        <v>0.67669999999999997</v>
      </c>
      <c r="J42" s="4">
        <v>0.622</v>
      </c>
      <c r="K42" s="4">
        <v>0.60219999999999996</v>
      </c>
      <c r="L42" s="4">
        <v>0.42780000000000001</v>
      </c>
      <c r="M42" s="4">
        <v>0.49409999999999998</v>
      </c>
      <c r="N42" s="4">
        <v>0.4672</v>
      </c>
      <c r="O42" s="5">
        <v>45996.572962962964</v>
      </c>
      <c r="P42" s="5">
        <v>45996.573159722226</v>
      </c>
      <c r="Q42" s="6">
        <v>2.0833333837799728E-4</v>
      </c>
    </row>
    <row r="43" spans="1:17" x14ac:dyDescent="0.25">
      <c r="A43" s="2">
        <v>40</v>
      </c>
      <c r="B43" t="s">
        <v>72</v>
      </c>
      <c r="C43" t="s">
        <v>19</v>
      </c>
      <c r="D43" t="s">
        <v>43</v>
      </c>
      <c r="E43" t="s">
        <v>63</v>
      </c>
      <c r="F43" t="s">
        <v>2</v>
      </c>
      <c r="G43" s="3">
        <v>25</v>
      </c>
      <c r="H43" s="4">
        <v>0.72470000000000001</v>
      </c>
      <c r="I43" s="4">
        <v>0.70679999999999998</v>
      </c>
      <c r="J43" s="4">
        <v>0.64829999999999999</v>
      </c>
      <c r="K43" s="4">
        <v>0.628</v>
      </c>
      <c r="L43" s="4">
        <v>0.46100000000000002</v>
      </c>
      <c r="M43" s="4">
        <v>0.51870000000000005</v>
      </c>
      <c r="N43" s="4">
        <v>0.49440000000000001</v>
      </c>
      <c r="O43" s="5">
        <v>45996.573287037034</v>
      </c>
      <c r="P43" s="5">
        <v>45996.57340277778</v>
      </c>
      <c r="Q43" s="6">
        <v>1.1574075324460864E-4</v>
      </c>
    </row>
    <row r="44" spans="1:17" x14ac:dyDescent="0.25">
      <c r="A44" s="2">
        <v>41</v>
      </c>
      <c r="B44" t="s">
        <v>73</v>
      </c>
      <c r="C44" t="s">
        <v>19</v>
      </c>
      <c r="D44" t="s">
        <v>45</v>
      </c>
      <c r="E44" t="s">
        <v>63</v>
      </c>
      <c r="F44" t="s">
        <v>2</v>
      </c>
      <c r="G44" s="3">
        <v>25</v>
      </c>
      <c r="H44" s="4">
        <v>0.58609999999999995</v>
      </c>
      <c r="I44" s="4">
        <v>0.62019999999999997</v>
      </c>
      <c r="J44" s="4">
        <v>0.59960000000000002</v>
      </c>
      <c r="K44" s="4">
        <v>0.59099999999999997</v>
      </c>
      <c r="L44" s="4">
        <v>0.4849</v>
      </c>
      <c r="M44" s="4">
        <v>0.53220000000000001</v>
      </c>
      <c r="N44" s="4">
        <v>0.51749999999999996</v>
      </c>
      <c r="O44" s="5">
        <v>45996.573541666665</v>
      </c>
      <c r="P44" s="5">
        <v>45996.57366898148</v>
      </c>
      <c r="Q44" s="6">
        <v>1.1574075324460864E-4</v>
      </c>
    </row>
    <row r="45" spans="1:17" x14ac:dyDescent="0.25">
      <c r="A45" s="2">
        <v>42</v>
      </c>
      <c r="B45" t="s">
        <v>74</v>
      </c>
      <c r="C45" t="s">
        <v>19</v>
      </c>
      <c r="D45" t="s">
        <v>20</v>
      </c>
      <c r="E45" t="s">
        <v>33</v>
      </c>
      <c r="F45" t="s">
        <v>2</v>
      </c>
      <c r="G45" s="3">
        <v>25</v>
      </c>
      <c r="H45" s="4">
        <v>0.9748</v>
      </c>
      <c r="I45" s="4">
        <v>0.97650000000000003</v>
      </c>
      <c r="J45" s="4">
        <v>0.97640000000000005</v>
      </c>
      <c r="K45" s="4">
        <v>0.97629999999999995</v>
      </c>
      <c r="L45" s="4">
        <v>0.97670000000000001</v>
      </c>
      <c r="M45" s="4">
        <v>0.97719999999999996</v>
      </c>
      <c r="N45" s="4">
        <v>0.97670000000000001</v>
      </c>
      <c r="O45" s="5">
        <v>45996.584201388891</v>
      </c>
      <c r="P45" s="5">
        <v>45996.584398148145</v>
      </c>
      <c r="Q45" s="6">
        <v>1.9675926887430251E-4</v>
      </c>
    </row>
    <row r="46" spans="1:17" x14ac:dyDescent="0.25">
      <c r="B46" s="1" t="s">
        <v>75</v>
      </c>
      <c r="G46" s="8">
        <f t="shared" ref="G46:N46" si="0">AVERAGE(G4:G45)</f>
        <v>25</v>
      </c>
      <c r="H46" s="9">
        <f t="shared" si="0"/>
        <v>0.61771463414634131</v>
      </c>
      <c r="I46" s="9">
        <f t="shared" si="0"/>
        <v>0.6185829268292683</v>
      </c>
      <c r="J46" s="9">
        <f t="shared" si="0"/>
        <v>0.60407804878048776</v>
      </c>
      <c r="K46" s="9">
        <f t="shared" si="0"/>
        <v>0.59858292682926828</v>
      </c>
      <c r="L46" s="9">
        <f t="shared" si="0"/>
        <v>0.54947317073170743</v>
      </c>
      <c r="M46" s="9">
        <f t="shared" si="0"/>
        <v>0.56829756097560979</v>
      </c>
      <c r="N46" s="9">
        <f t="shared" si="0"/>
        <v>0.56075365853658532</v>
      </c>
    </row>
    <row r="47" spans="1:17" x14ac:dyDescent="0.25">
      <c r="B47" s="1" t="s">
        <v>76</v>
      </c>
      <c r="G47" s="8">
        <f t="shared" ref="G47:N47" si="1">MIN(G4:G45)</f>
        <v>25</v>
      </c>
      <c r="H47" s="9">
        <f t="shared" si="1"/>
        <v>0.2324</v>
      </c>
      <c r="I47" s="9">
        <f t="shared" si="1"/>
        <v>0.23830000000000001</v>
      </c>
      <c r="J47" s="9">
        <f t="shared" si="1"/>
        <v>0.2399</v>
      </c>
      <c r="K47" s="9">
        <f t="shared" si="1"/>
        <v>0.24030000000000001</v>
      </c>
      <c r="L47" s="9">
        <f t="shared" si="1"/>
        <v>0.24279999999999999</v>
      </c>
      <c r="M47" s="9">
        <f t="shared" si="1"/>
        <v>0.24709999999999999</v>
      </c>
      <c r="N47" s="9">
        <f t="shared" si="1"/>
        <v>0.24840000000000001</v>
      </c>
    </row>
    <row r="48" spans="1:17" x14ac:dyDescent="0.25">
      <c r="B48" s="1" t="s">
        <v>77</v>
      </c>
      <c r="G48" s="8">
        <f t="shared" ref="G48:N48" si="2">MAX(G4:G45)</f>
        <v>25</v>
      </c>
      <c r="H48" s="9">
        <f t="shared" si="2"/>
        <v>0.98850000000000005</v>
      </c>
      <c r="I48" s="9">
        <f t="shared" si="2"/>
        <v>0.98970000000000002</v>
      </c>
      <c r="J48" s="9">
        <f t="shared" si="2"/>
        <v>0.98980000000000001</v>
      </c>
      <c r="K48" s="9">
        <f t="shared" si="2"/>
        <v>0.98950000000000005</v>
      </c>
      <c r="L48" s="9">
        <f t="shared" si="2"/>
        <v>0.98980000000000001</v>
      </c>
      <c r="M48" s="9">
        <f t="shared" si="2"/>
        <v>0.99009999999999998</v>
      </c>
      <c r="N48" s="9">
        <f t="shared" si="2"/>
        <v>0.98980000000000001</v>
      </c>
    </row>
    <row r="49" spans="2:14" x14ac:dyDescent="0.25">
      <c r="B49" s="1" t="s">
        <v>78</v>
      </c>
      <c r="G49" s="8">
        <f t="shared" ref="G49:N49" si="3">STDEV(G4:G45)</f>
        <v>0</v>
      </c>
      <c r="H49" s="9">
        <f t="shared" si="3"/>
        <v>0.2590718641236211</v>
      </c>
      <c r="I49" s="9">
        <f t="shared" si="3"/>
        <v>0.25598108319018292</v>
      </c>
      <c r="J49" s="9">
        <f t="shared" si="3"/>
        <v>0.25353009142130967</v>
      </c>
      <c r="K49" s="9">
        <f t="shared" si="3"/>
        <v>0.25319745348486322</v>
      </c>
      <c r="L49" s="9">
        <f t="shared" si="3"/>
        <v>0.26332694699212794</v>
      </c>
      <c r="M49" s="9">
        <f t="shared" si="3"/>
        <v>0.25652393503122178</v>
      </c>
      <c r="N49" s="9">
        <f t="shared" si="3"/>
        <v>0.25875070250876753</v>
      </c>
    </row>
    <row r="51" spans="2:14" x14ac:dyDescent="0.25">
      <c r="B51" s="1" t="s">
        <v>79</v>
      </c>
      <c r="G51" s="8" t="s">
        <v>80</v>
      </c>
      <c r="H51" s="9" t="s">
        <v>80</v>
      </c>
      <c r="I51" s="9" t="s">
        <v>80</v>
      </c>
      <c r="J51" s="9" t="s">
        <v>80</v>
      </c>
      <c r="K51" s="9" t="s">
        <v>80</v>
      </c>
      <c r="L51" s="9" t="s">
        <v>80</v>
      </c>
      <c r="M51" s="9" t="s">
        <v>80</v>
      </c>
      <c r="N51" s="9" t="s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EAAA-1811-4E21-8609-0D1558D253BF}">
  <sheetPr filterMode="1"/>
  <dimension ref="A1:T22"/>
  <sheetViews>
    <sheetView workbookViewId="0">
      <selection activeCell="O13" sqref="O13"/>
    </sheetView>
  </sheetViews>
  <sheetFormatPr baseColWidth="10" defaultRowHeight="15" x14ac:dyDescent="0.25"/>
  <cols>
    <col min="1" max="1" width="4" bestFit="1" customWidth="1"/>
    <col min="2" max="2" width="30.42578125" bestFit="1" customWidth="1"/>
    <col min="3" max="3" width="7.5703125" bestFit="1" customWidth="1"/>
    <col min="4" max="4" width="15.28515625" bestFit="1" customWidth="1"/>
    <col min="7" max="17" width="11.5703125" bestFit="1" customWidth="1"/>
    <col min="18" max="19" width="18.140625" bestFit="1" customWidth="1"/>
    <col min="20" max="20" width="11.5703125" bestFit="1" customWidth="1"/>
  </cols>
  <sheetData>
    <row r="1" spans="1:20" s="1" customFormat="1" x14ac:dyDescent="0.25">
      <c r="A1" s="1" t="s">
        <v>0</v>
      </c>
    </row>
    <row r="3" spans="1:20" x14ac:dyDescent="0.25">
      <c r="A3" s="2" t="s">
        <v>1</v>
      </c>
      <c r="B3" s="2" t="s">
        <v>81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82</v>
      </c>
      <c r="H3" s="2" t="s">
        <v>83</v>
      </c>
      <c r="I3" s="2" t="s">
        <v>84</v>
      </c>
      <c r="J3" s="2" t="s">
        <v>85</v>
      </c>
      <c r="K3" s="2" t="s">
        <v>86</v>
      </c>
      <c r="L3" s="2" t="s">
        <v>7</v>
      </c>
      <c r="M3" s="2" t="s">
        <v>87</v>
      </c>
      <c r="N3" s="2" t="s">
        <v>88</v>
      </c>
      <c r="O3" s="2" t="s">
        <v>89</v>
      </c>
      <c r="P3" s="2" t="s">
        <v>90</v>
      </c>
      <c r="Q3" s="2" t="s">
        <v>91</v>
      </c>
      <c r="R3" s="2" t="s">
        <v>15</v>
      </c>
      <c r="S3" s="2" t="s">
        <v>16</v>
      </c>
      <c r="T3" s="2" t="s">
        <v>17</v>
      </c>
    </row>
    <row r="4" spans="1:20" hidden="1" x14ac:dyDescent="0.25">
      <c r="A4" s="2">
        <v>43</v>
      </c>
      <c r="B4" t="s">
        <v>92</v>
      </c>
      <c r="C4" t="s">
        <v>19</v>
      </c>
      <c r="D4" t="s">
        <v>93</v>
      </c>
      <c r="E4" t="s">
        <v>21</v>
      </c>
      <c r="F4" t="s">
        <v>81</v>
      </c>
      <c r="G4" s="10">
        <v>9.9</v>
      </c>
      <c r="H4" s="10">
        <v>46.4</v>
      </c>
      <c r="I4" s="10">
        <v>0.8</v>
      </c>
      <c r="J4" s="10">
        <v>5.9</v>
      </c>
      <c r="K4" s="11">
        <v>4.76</v>
      </c>
      <c r="L4" s="3">
        <v>25</v>
      </c>
      <c r="M4" s="10">
        <v>45.5</v>
      </c>
      <c r="N4" s="10">
        <v>27.9</v>
      </c>
      <c r="O4" s="7" t="s">
        <v>94</v>
      </c>
      <c r="P4" s="10">
        <v>11.1</v>
      </c>
      <c r="Q4" s="10">
        <v>24</v>
      </c>
      <c r="R4" s="5">
        <v>45996.501018518517</v>
      </c>
      <c r="S4" s="5">
        <v>45996.501261574071</v>
      </c>
      <c r="T4" s="6">
        <v>2.3148147738538682E-4</v>
      </c>
    </row>
    <row r="5" spans="1:20" hidden="1" x14ac:dyDescent="0.25">
      <c r="A5" s="2">
        <v>44</v>
      </c>
      <c r="B5" t="s">
        <v>95</v>
      </c>
      <c r="C5" t="s">
        <v>19</v>
      </c>
      <c r="D5" t="s">
        <v>93</v>
      </c>
      <c r="E5" t="s">
        <v>21</v>
      </c>
      <c r="F5" t="s">
        <v>81</v>
      </c>
      <c r="G5" s="10">
        <v>10</v>
      </c>
      <c r="H5" s="10">
        <v>46.4</v>
      </c>
      <c r="I5" s="10">
        <v>0.8</v>
      </c>
      <c r="J5" s="10">
        <v>5.9</v>
      </c>
      <c r="K5" s="11">
        <v>4.8099999999999996</v>
      </c>
      <c r="L5" s="3">
        <v>25</v>
      </c>
      <c r="M5" s="10">
        <v>46.5</v>
      </c>
      <c r="N5" s="10">
        <v>29</v>
      </c>
      <c r="O5" s="7" t="s">
        <v>94</v>
      </c>
      <c r="P5" s="10">
        <v>12.2</v>
      </c>
      <c r="Q5" s="10">
        <v>24.3</v>
      </c>
      <c r="R5" s="5">
        <v>45996.501446759263</v>
      </c>
      <c r="S5" s="5">
        <v>45996.501608796294</v>
      </c>
      <c r="T5" s="6">
        <v>1.6203703125938773E-4</v>
      </c>
    </row>
    <row r="6" spans="1:20" hidden="1" x14ac:dyDescent="0.25">
      <c r="A6" s="2">
        <v>45</v>
      </c>
      <c r="B6" t="s">
        <v>96</v>
      </c>
      <c r="C6" t="s">
        <v>19</v>
      </c>
      <c r="D6" t="s">
        <v>93</v>
      </c>
      <c r="E6" t="s">
        <v>21</v>
      </c>
      <c r="F6" t="s">
        <v>81</v>
      </c>
      <c r="G6" s="10">
        <v>9.9</v>
      </c>
      <c r="H6" s="10">
        <v>46.5</v>
      </c>
      <c r="I6" s="10">
        <v>0.9</v>
      </c>
      <c r="J6" s="10">
        <v>6</v>
      </c>
      <c r="K6" s="11">
        <v>4.82</v>
      </c>
      <c r="L6" s="3">
        <v>25</v>
      </c>
      <c r="M6" s="10">
        <v>47.3</v>
      </c>
      <c r="N6" s="10">
        <v>30.7</v>
      </c>
      <c r="O6" s="7" t="s">
        <v>94</v>
      </c>
      <c r="P6" s="10">
        <v>13.4</v>
      </c>
      <c r="Q6" s="10">
        <v>25.1</v>
      </c>
      <c r="R6" s="5">
        <v>45996.501736111109</v>
      </c>
      <c r="S6" s="5">
        <v>45996.501898148148</v>
      </c>
      <c r="T6" s="6">
        <v>1.6203703125938773E-4</v>
      </c>
    </row>
    <row r="7" spans="1:20" x14ac:dyDescent="0.25">
      <c r="A7" s="2">
        <v>46</v>
      </c>
      <c r="B7" t="s">
        <v>97</v>
      </c>
      <c r="C7" t="s">
        <v>19</v>
      </c>
      <c r="D7" t="s">
        <v>93</v>
      </c>
      <c r="E7" t="s">
        <v>24</v>
      </c>
      <c r="F7" t="s">
        <v>81</v>
      </c>
      <c r="G7" s="10">
        <v>10</v>
      </c>
      <c r="H7" s="10">
        <v>47</v>
      </c>
      <c r="I7" s="10">
        <v>1.3</v>
      </c>
      <c r="J7" s="10">
        <v>5.0999999999999996</v>
      </c>
      <c r="K7" s="11">
        <v>5.37</v>
      </c>
      <c r="L7" s="3">
        <v>25</v>
      </c>
      <c r="M7" s="10">
        <v>31.5</v>
      </c>
      <c r="N7" s="10">
        <v>15.3</v>
      </c>
      <c r="O7" s="10">
        <v>77.8</v>
      </c>
      <c r="P7" s="10">
        <v>7.9</v>
      </c>
      <c r="Q7" s="10">
        <v>13.9</v>
      </c>
      <c r="R7" s="5">
        <v>45996.507476851853</v>
      </c>
      <c r="S7" s="5">
        <v>45996.507708333331</v>
      </c>
      <c r="T7" s="6">
        <v>2.3148147738538682E-4</v>
      </c>
    </row>
    <row r="8" spans="1:20" x14ac:dyDescent="0.25">
      <c r="A8" s="2">
        <v>47</v>
      </c>
      <c r="B8" t="s">
        <v>98</v>
      </c>
      <c r="C8" t="s">
        <v>19</v>
      </c>
      <c r="D8" t="s">
        <v>93</v>
      </c>
      <c r="E8" t="s">
        <v>24</v>
      </c>
      <c r="F8" t="s">
        <v>81</v>
      </c>
      <c r="G8" s="10">
        <v>10</v>
      </c>
      <c r="H8" s="10">
        <v>46.9</v>
      </c>
      <c r="I8" s="10">
        <v>1.4</v>
      </c>
      <c r="J8" s="10">
        <v>5.2</v>
      </c>
      <c r="K8" s="11">
        <v>5.38</v>
      </c>
      <c r="L8" s="3">
        <v>25</v>
      </c>
      <c r="M8" s="10">
        <v>32.4</v>
      </c>
      <c r="N8" s="10">
        <v>15.8</v>
      </c>
      <c r="O8" s="10">
        <v>81.7</v>
      </c>
      <c r="P8" s="10">
        <v>8.6999999999999993</v>
      </c>
      <c r="Q8" s="10">
        <v>14.5</v>
      </c>
      <c r="R8" s="5">
        <v>45996.5078587963</v>
      </c>
      <c r="S8" s="5">
        <v>45996.508020833331</v>
      </c>
      <c r="T8" s="6">
        <v>1.6203703125938773E-4</v>
      </c>
    </row>
    <row r="9" spans="1:20" ht="14.25" customHeight="1" x14ac:dyDescent="0.25">
      <c r="A9" s="2">
        <v>48</v>
      </c>
      <c r="B9" t="s">
        <v>99</v>
      </c>
      <c r="C9" t="s">
        <v>19</v>
      </c>
      <c r="D9" t="s">
        <v>93</v>
      </c>
      <c r="E9" t="s">
        <v>24</v>
      </c>
      <c r="F9" t="s">
        <v>81</v>
      </c>
      <c r="G9" s="10">
        <v>10</v>
      </c>
      <c r="H9" s="10">
        <v>47</v>
      </c>
      <c r="I9" s="10">
        <v>1.3</v>
      </c>
      <c r="J9" s="10">
        <v>5.2</v>
      </c>
      <c r="K9" s="11">
        <v>5.38</v>
      </c>
      <c r="L9" s="3">
        <v>25</v>
      </c>
      <c r="M9" s="10">
        <v>32.299999999999997</v>
      </c>
      <c r="N9" s="10">
        <v>15.7</v>
      </c>
      <c r="O9" s="10">
        <v>80.400000000000006</v>
      </c>
      <c r="P9" s="10">
        <v>9.1</v>
      </c>
      <c r="Q9" s="10">
        <v>14.5</v>
      </c>
      <c r="R9" s="5">
        <v>45996.508159722223</v>
      </c>
      <c r="S9" s="5">
        <v>45996.508287037039</v>
      </c>
      <c r="T9" s="6">
        <v>1.1574075324460864E-4</v>
      </c>
    </row>
    <row r="10" spans="1:20" s="15" customFormat="1" hidden="1" x14ac:dyDescent="0.25">
      <c r="A10" s="14">
        <v>49</v>
      </c>
      <c r="B10" s="15" t="s">
        <v>100</v>
      </c>
      <c r="C10" s="15" t="s">
        <v>19</v>
      </c>
      <c r="D10" s="15" t="s">
        <v>93</v>
      </c>
      <c r="E10" s="15" t="s">
        <v>63</v>
      </c>
      <c r="F10" s="15" t="s">
        <v>81</v>
      </c>
      <c r="G10" s="16">
        <v>10.199999999999999</v>
      </c>
      <c r="H10" s="16">
        <v>47.5</v>
      </c>
      <c r="I10" s="16">
        <v>1.3</v>
      </c>
      <c r="J10" s="16">
        <v>5.3</v>
      </c>
      <c r="K10" s="17">
        <v>5.4</v>
      </c>
      <c r="L10" s="18">
        <v>25</v>
      </c>
      <c r="M10" s="16">
        <v>36.5</v>
      </c>
      <c r="N10" s="16">
        <v>19</v>
      </c>
      <c r="O10" s="16">
        <v>86.2</v>
      </c>
      <c r="P10" s="16">
        <v>9.6999999999999993</v>
      </c>
      <c r="Q10" s="16">
        <v>16</v>
      </c>
      <c r="R10" s="19">
        <v>45996.576458333337</v>
      </c>
      <c r="S10" s="19">
        <v>45996.576782407406</v>
      </c>
      <c r="T10" s="20">
        <v>3.2407406251877546E-4</v>
      </c>
    </row>
    <row r="11" spans="1:20" s="15" customFormat="1" x14ac:dyDescent="0.25">
      <c r="A11" s="14">
        <v>50</v>
      </c>
      <c r="B11" s="15" t="s">
        <v>101</v>
      </c>
      <c r="C11" s="15" t="s">
        <v>19</v>
      </c>
      <c r="D11" s="15" t="s">
        <v>93</v>
      </c>
      <c r="E11" s="15" t="s">
        <v>63</v>
      </c>
      <c r="F11" s="15" t="s">
        <v>81</v>
      </c>
      <c r="G11" s="16">
        <v>10.199999999999999</v>
      </c>
      <c r="H11" s="16">
        <v>47.1</v>
      </c>
      <c r="I11" s="16">
        <v>1.4</v>
      </c>
      <c r="J11" s="16">
        <v>5.3</v>
      </c>
      <c r="K11" s="17">
        <v>5.44</v>
      </c>
      <c r="L11" s="18">
        <v>25</v>
      </c>
      <c r="M11" s="16">
        <v>34.4</v>
      </c>
      <c r="N11" s="16">
        <v>17.5</v>
      </c>
      <c r="O11" s="16">
        <v>78.7</v>
      </c>
      <c r="P11" s="16">
        <v>9.5</v>
      </c>
      <c r="Q11" s="16">
        <v>15.3</v>
      </c>
      <c r="R11" s="19">
        <v>45996.576944444445</v>
      </c>
      <c r="S11" s="19">
        <v>45996.577256944445</v>
      </c>
      <c r="T11" s="20">
        <v>3.1249999301508069E-4</v>
      </c>
    </row>
    <row r="12" spans="1:20" s="15" customFormat="1" x14ac:dyDescent="0.25">
      <c r="A12" s="14">
        <v>51</v>
      </c>
      <c r="B12" s="15" t="s">
        <v>102</v>
      </c>
      <c r="C12" s="15" t="s">
        <v>19</v>
      </c>
      <c r="D12" s="15" t="s">
        <v>93</v>
      </c>
      <c r="E12" s="15" t="s">
        <v>63</v>
      </c>
      <c r="F12" s="15" t="s">
        <v>81</v>
      </c>
      <c r="G12" s="16">
        <v>10</v>
      </c>
      <c r="H12" s="16">
        <v>46.8</v>
      </c>
      <c r="I12" s="16">
        <v>1.4</v>
      </c>
      <c r="J12" s="16">
        <v>5.4</v>
      </c>
      <c r="K12" s="17">
        <v>5.48</v>
      </c>
      <c r="L12" s="18">
        <v>25</v>
      </c>
      <c r="M12" s="16">
        <v>32.700000000000003</v>
      </c>
      <c r="N12" s="16">
        <v>16.7</v>
      </c>
      <c r="O12" s="16">
        <v>79.7</v>
      </c>
      <c r="P12" s="16">
        <v>9.5</v>
      </c>
      <c r="Q12" s="16">
        <v>14.8</v>
      </c>
      <c r="R12" s="19">
        <v>45996.57739583333</v>
      </c>
      <c r="S12" s="19">
        <v>45996.577685185184</v>
      </c>
      <c r="T12" s="20">
        <v>2.7777778450399637E-4</v>
      </c>
    </row>
    <row r="13" spans="1:20" s="15" customFormat="1" x14ac:dyDescent="0.25">
      <c r="A13" s="14">
        <v>52</v>
      </c>
      <c r="B13" s="15" t="s">
        <v>103</v>
      </c>
      <c r="C13" s="15" t="s">
        <v>19</v>
      </c>
      <c r="D13" s="15" t="s">
        <v>93</v>
      </c>
      <c r="E13" s="15" t="s">
        <v>63</v>
      </c>
      <c r="F13" s="15" t="s">
        <v>81</v>
      </c>
      <c r="G13" s="16">
        <v>10.1</v>
      </c>
      <c r="H13" s="16">
        <v>46.8</v>
      </c>
      <c r="I13" s="16">
        <v>1.5</v>
      </c>
      <c r="J13" s="16">
        <v>5.3</v>
      </c>
      <c r="K13" s="17">
        <v>5.46</v>
      </c>
      <c r="L13" s="18">
        <v>25</v>
      </c>
      <c r="M13" s="16">
        <v>33</v>
      </c>
      <c r="N13" s="16">
        <v>16.2</v>
      </c>
      <c r="O13" s="16">
        <v>74.599999999999994</v>
      </c>
      <c r="P13" s="16">
        <v>9.1999999999999993</v>
      </c>
      <c r="Q13" s="16">
        <v>14.3</v>
      </c>
      <c r="R13" s="19">
        <v>45996.5778125</v>
      </c>
      <c r="S13" s="19">
        <v>45996.577939814815</v>
      </c>
      <c r="T13" s="20">
        <v>1.1574075324460864E-4</v>
      </c>
    </row>
    <row r="14" spans="1:20" x14ac:dyDescent="0.25">
      <c r="A14" s="2">
        <v>53</v>
      </c>
      <c r="B14" t="s">
        <v>104</v>
      </c>
      <c r="C14" t="s">
        <v>19</v>
      </c>
      <c r="D14" t="s">
        <v>93</v>
      </c>
      <c r="E14" t="s">
        <v>33</v>
      </c>
      <c r="F14" t="s">
        <v>81</v>
      </c>
      <c r="G14" s="10">
        <v>10.199999999999999</v>
      </c>
      <c r="H14" s="10">
        <v>47.2</v>
      </c>
      <c r="I14" s="10">
        <v>1.2</v>
      </c>
      <c r="J14" s="10">
        <v>5.3</v>
      </c>
      <c r="K14" s="11">
        <v>5.35</v>
      </c>
      <c r="L14" s="3">
        <v>25</v>
      </c>
      <c r="M14" s="10">
        <v>33.299999999999997</v>
      </c>
      <c r="N14" s="10">
        <v>16</v>
      </c>
      <c r="O14" s="10">
        <v>83.3</v>
      </c>
      <c r="P14" s="10">
        <v>9.3000000000000007</v>
      </c>
      <c r="Q14" s="10">
        <v>14.6</v>
      </c>
      <c r="R14" s="5">
        <v>45996.584733796299</v>
      </c>
      <c r="S14" s="5">
        <v>45996.58494212963</v>
      </c>
      <c r="T14" s="6">
        <v>1.9675926887430251E-4</v>
      </c>
    </row>
    <row r="15" spans="1:20" x14ac:dyDescent="0.25">
      <c r="A15" s="2">
        <v>54</v>
      </c>
      <c r="B15" t="s">
        <v>105</v>
      </c>
      <c r="C15" t="s">
        <v>19</v>
      </c>
      <c r="D15" t="s">
        <v>93</v>
      </c>
      <c r="E15" t="s">
        <v>33</v>
      </c>
      <c r="F15" t="s">
        <v>81</v>
      </c>
      <c r="G15" s="10">
        <v>10.1</v>
      </c>
      <c r="H15" s="10">
        <v>47.1</v>
      </c>
      <c r="I15" s="10">
        <v>1.3</v>
      </c>
      <c r="J15" s="10">
        <v>5.3</v>
      </c>
      <c r="K15" s="11">
        <v>5.39</v>
      </c>
      <c r="L15" s="3">
        <v>25</v>
      </c>
      <c r="M15" s="10">
        <v>33.200000000000003</v>
      </c>
      <c r="N15" s="10">
        <v>16.5</v>
      </c>
      <c r="O15" s="10">
        <v>78.8</v>
      </c>
      <c r="P15" s="10">
        <v>9.9</v>
      </c>
      <c r="Q15" s="10">
        <v>14.6</v>
      </c>
      <c r="R15" s="5">
        <v>45996.585081018522</v>
      </c>
      <c r="S15" s="5">
        <v>45996.585243055553</v>
      </c>
      <c r="T15" s="6">
        <v>1.6203703125938773E-4</v>
      </c>
    </row>
    <row r="16" spans="1:20" x14ac:dyDescent="0.25">
      <c r="A16" s="2">
        <v>55</v>
      </c>
      <c r="B16" t="s">
        <v>106</v>
      </c>
      <c r="C16" t="s">
        <v>19</v>
      </c>
      <c r="D16" t="s">
        <v>93</v>
      </c>
      <c r="E16" t="s">
        <v>33</v>
      </c>
      <c r="F16" t="s">
        <v>81</v>
      </c>
      <c r="G16" s="10">
        <v>10</v>
      </c>
      <c r="H16" s="10">
        <v>47.1</v>
      </c>
      <c r="I16" s="10">
        <v>1.4</v>
      </c>
      <c r="J16" s="10">
        <v>5.3</v>
      </c>
      <c r="K16" s="11">
        <v>5.4</v>
      </c>
      <c r="L16" s="3">
        <v>25</v>
      </c>
      <c r="M16" s="10">
        <v>33.5</v>
      </c>
      <c r="N16" s="10">
        <v>17.3</v>
      </c>
      <c r="O16" s="10">
        <v>78.2</v>
      </c>
      <c r="P16" s="10">
        <v>10.199999999999999</v>
      </c>
      <c r="Q16" s="10">
        <v>15.2</v>
      </c>
      <c r="R16" s="5">
        <v>45996.585393518515</v>
      </c>
      <c r="S16" s="5">
        <v>45996.585509259261</v>
      </c>
      <c r="T16" s="6">
        <v>1.1574075324460864E-4</v>
      </c>
    </row>
    <row r="17" spans="2:17" x14ac:dyDescent="0.25">
      <c r="B17" s="1" t="s">
        <v>75</v>
      </c>
      <c r="G17" s="12">
        <f t="shared" ref="G17:Q17" si="0">AVERAGE(G4:G16)</f>
        <v>10.046153846153846</v>
      </c>
      <c r="H17" s="12">
        <f t="shared" si="0"/>
        <v>46.907692307692322</v>
      </c>
      <c r="I17" s="12">
        <f t="shared" si="0"/>
        <v>1.2307692307692308</v>
      </c>
      <c r="J17" s="12">
        <f t="shared" si="0"/>
        <v>5.4230769230769216</v>
      </c>
      <c r="K17" s="13">
        <f t="shared" si="0"/>
        <v>5.2646153846153858</v>
      </c>
      <c r="L17" s="8">
        <f t="shared" si="0"/>
        <v>25</v>
      </c>
      <c r="M17" s="12">
        <f t="shared" si="0"/>
        <v>36.315384615384616</v>
      </c>
      <c r="N17" s="12">
        <f t="shared" si="0"/>
        <v>19.507692307692306</v>
      </c>
      <c r="O17" s="12">
        <f t="shared" si="0"/>
        <v>79.94</v>
      </c>
      <c r="P17" s="12">
        <f t="shared" si="0"/>
        <v>9.9769230769230752</v>
      </c>
      <c r="Q17" s="12">
        <f t="shared" si="0"/>
        <v>17.007692307692309</v>
      </c>
    </row>
    <row r="18" spans="2:17" x14ac:dyDescent="0.25">
      <c r="B18" s="1" t="s">
        <v>76</v>
      </c>
      <c r="G18" s="12">
        <f t="shared" ref="G18:Q18" si="1">MIN(G4:G16)</f>
        <v>9.9</v>
      </c>
      <c r="H18" s="12">
        <f t="shared" si="1"/>
        <v>46.4</v>
      </c>
      <c r="I18" s="12">
        <f t="shared" si="1"/>
        <v>0.8</v>
      </c>
      <c r="J18" s="12">
        <f t="shared" si="1"/>
        <v>5.0999999999999996</v>
      </c>
      <c r="K18" s="13">
        <f t="shared" si="1"/>
        <v>4.76</v>
      </c>
      <c r="L18" s="8">
        <f t="shared" si="1"/>
        <v>25</v>
      </c>
      <c r="M18" s="12">
        <f t="shared" si="1"/>
        <v>31.5</v>
      </c>
      <c r="N18" s="12">
        <f t="shared" si="1"/>
        <v>15.3</v>
      </c>
      <c r="O18" s="12">
        <f t="shared" si="1"/>
        <v>74.599999999999994</v>
      </c>
      <c r="P18" s="12">
        <f t="shared" si="1"/>
        <v>7.9</v>
      </c>
      <c r="Q18" s="12">
        <f t="shared" si="1"/>
        <v>13.9</v>
      </c>
    </row>
    <row r="19" spans="2:17" x14ac:dyDescent="0.25">
      <c r="B19" s="1" t="s">
        <v>77</v>
      </c>
      <c r="G19" s="12">
        <f t="shared" ref="G19:Q19" si="2">MAX(G4:G16)</f>
        <v>10.199999999999999</v>
      </c>
      <c r="H19" s="12">
        <f t="shared" si="2"/>
        <v>47.5</v>
      </c>
      <c r="I19" s="12">
        <f t="shared" si="2"/>
        <v>1.5</v>
      </c>
      <c r="J19" s="12">
        <f t="shared" si="2"/>
        <v>6</v>
      </c>
      <c r="K19" s="13">
        <f t="shared" si="2"/>
        <v>5.48</v>
      </c>
      <c r="L19" s="8">
        <f t="shared" si="2"/>
        <v>25</v>
      </c>
      <c r="M19" s="12">
        <f t="shared" si="2"/>
        <v>47.3</v>
      </c>
      <c r="N19" s="12">
        <f t="shared" si="2"/>
        <v>30.7</v>
      </c>
      <c r="O19" s="12">
        <f t="shared" si="2"/>
        <v>86.2</v>
      </c>
      <c r="P19" s="12">
        <f t="shared" si="2"/>
        <v>13.4</v>
      </c>
      <c r="Q19" s="12">
        <f t="shared" si="2"/>
        <v>25.1</v>
      </c>
    </row>
    <row r="20" spans="2:17" x14ac:dyDescent="0.25">
      <c r="B20" s="1" t="s">
        <v>78</v>
      </c>
      <c r="G20" s="12">
        <f t="shared" ref="G20:Q20" si="3">STDEV(G4:G16)</f>
        <v>0.10500305245868306</v>
      </c>
      <c r="H20" s="12">
        <f t="shared" si="3"/>
        <v>0.32522181779399639</v>
      </c>
      <c r="I20" s="12">
        <f t="shared" si="3"/>
        <v>0.23939025107069925</v>
      </c>
      <c r="J20" s="12">
        <f t="shared" si="3"/>
        <v>0.30042704647952445</v>
      </c>
      <c r="K20" s="13">
        <f t="shared" si="3"/>
        <v>0.26952474792417447</v>
      </c>
      <c r="L20" s="8">
        <f t="shared" si="3"/>
        <v>0</v>
      </c>
      <c r="M20" s="12">
        <f t="shared" si="3"/>
        <v>5.9011081097601554</v>
      </c>
      <c r="N20" s="12">
        <f t="shared" si="3"/>
        <v>5.6353736253629112</v>
      </c>
      <c r="O20" s="12">
        <f t="shared" si="3"/>
        <v>3.2111610914987687</v>
      </c>
      <c r="P20" s="12">
        <f t="shared" si="3"/>
        <v>1.4799514891564649</v>
      </c>
      <c r="Q20" s="12">
        <f t="shared" si="3"/>
        <v>4.289417508718687</v>
      </c>
    </row>
    <row r="22" spans="2:17" x14ac:dyDescent="0.25">
      <c r="B22" s="1" t="s">
        <v>79</v>
      </c>
      <c r="G22" s="12" t="s">
        <v>80</v>
      </c>
      <c r="H22" s="12" t="s">
        <v>80</v>
      </c>
      <c r="I22" s="12" t="s">
        <v>80</v>
      </c>
      <c r="J22" s="12" t="s">
        <v>80</v>
      </c>
      <c r="K22" s="13" t="s">
        <v>80</v>
      </c>
      <c r="L22" s="8" t="s">
        <v>80</v>
      </c>
      <c r="M22" s="12" t="s">
        <v>80</v>
      </c>
      <c r="N22" s="12" t="s">
        <v>80</v>
      </c>
      <c r="O22" s="12" t="s">
        <v>80</v>
      </c>
      <c r="P22" s="12" t="s">
        <v>80</v>
      </c>
      <c r="Q22" s="12" t="s">
        <v>80</v>
      </c>
    </row>
  </sheetData>
  <autoFilter ref="A3:T20" xr:uid="{D017EAAA-1811-4E21-8609-0D1558D253BF}">
    <filterColumn colId="4">
      <filters blank="1">
        <filter val="L1.2 BL"/>
        <filter val="L1.3 BL"/>
        <filter val="L1.3 BLOFF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B3FC-C717-4915-AE5D-227F32A50D7A}">
  <sheetPr filterMode="1"/>
  <dimension ref="A1:X21"/>
  <sheetViews>
    <sheetView workbookViewId="0">
      <selection activeCell="F16" sqref="F16"/>
    </sheetView>
  </sheetViews>
  <sheetFormatPr baseColWidth="10" defaultRowHeight="15" x14ac:dyDescent="0.25"/>
  <cols>
    <col min="1" max="1" width="4" bestFit="1" customWidth="1"/>
    <col min="2" max="2" width="30.42578125" bestFit="1" customWidth="1"/>
    <col min="3" max="3" width="7.5703125" bestFit="1" customWidth="1"/>
    <col min="4" max="4" width="15.28515625" bestFit="1" customWidth="1"/>
    <col min="7" max="21" width="11.5703125" bestFit="1" customWidth="1"/>
    <col min="22" max="23" width="18.140625" bestFit="1" customWidth="1"/>
    <col min="24" max="24" width="11.5703125" bestFit="1" customWidth="1"/>
  </cols>
  <sheetData>
    <row r="1" spans="1:24" s="1" customFormat="1" x14ac:dyDescent="0.25">
      <c r="A1" s="1" t="s">
        <v>0</v>
      </c>
    </row>
    <row r="3" spans="1:24" x14ac:dyDescent="0.25">
      <c r="A3" s="2" t="s">
        <v>1</v>
      </c>
      <c r="B3" s="2" t="s">
        <v>107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82</v>
      </c>
      <c r="H3" s="2" t="s">
        <v>83</v>
      </c>
      <c r="I3" s="2" t="s">
        <v>108</v>
      </c>
      <c r="J3" s="2" t="s">
        <v>85</v>
      </c>
      <c r="K3" s="2" t="s">
        <v>86</v>
      </c>
      <c r="L3" s="2" t="s">
        <v>109</v>
      </c>
      <c r="M3" s="2" t="s">
        <v>110</v>
      </c>
      <c r="N3" s="2" t="s">
        <v>7</v>
      </c>
      <c r="O3" s="2" t="s">
        <v>87</v>
      </c>
      <c r="P3" s="2" t="s">
        <v>88</v>
      </c>
      <c r="Q3" s="2" t="s">
        <v>111</v>
      </c>
      <c r="R3" s="2" t="s">
        <v>90</v>
      </c>
      <c r="S3" s="2" t="s">
        <v>91</v>
      </c>
      <c r="T3" s="2" t="s">
        <v>112</v>
      </c>
      <c r="U3" s="2" t="s">
        <v>113</v>
      </c>
      <c r="V3" s="2" t="s">
        <v>15</v>
      </c>
      <c r="W3" s="2" t="s">
        <v>16</v>
      </c>
      <c r="X3" s="2" t="s">
        <v>17</v>
      </c>
    </row>
    <row r="4" spans="1:24" hidden="1" x14ac:dyDescent="0.25">
      <c r="A4" s="2">
        <v>56</v>
      </c>
      <c r="B4" t="s">
        <v>114</v>
      </c>
      <c r="C4" t="s">
        <v>19</v>
      </c>
      <c r="D4" t="s">
        <v>115</v>
      </c>
      <c r="E4" t="s">
        <v>21</v>
      </c>
      <c r="F4" t="s">
        <v>107</v>
      </c>
      <c r="G4" s="10">
        <v>12.9</v>
      </c>
      <c r="H4" s="10">
        <v>6.2</v>
      </c>
      <c r="I4" s="10">
        <v>3.2</v>
      </c>
      <c r="J4" s="10">
        <v>2.8</v>
      </c>
      <c r="K4" s="11">
        <v>0.78</v>
      </c>
      <c r="L4" s="10">
        <v>70.7</v>
      </c>
      <c r="M4" s="3">
        <v>0.54100000000000004</v>
      </c>
      <c r="N4" s="3">
        <v>25</v>
      </c>
      <c r="O4" s="10">
        <v>32.6</v>
      </c>
      <c r="P4" s="10">
        <v>20.9</v>
      </c>
      <c r="Q4" s="10">
        <v>12.8</v>
      </c>
      <c r="R4" s="10">
        <v>9.1</v>
      </c>
      <c r="S4" s="7" t="s">
        <v>116</v>
      </c>
      <c r="T4" s="10">
        <v>19.3</v>
      </c>
      <c r="U4" s="10">
        <v>3.3</v>
      </c>
      <c r="V4" s="5">
        <v>45996.502175925925</v>
      </c>
      <c r="W4" s="5">
        <v>45996.502337962964</v>
      </c>
      <c r="X4" s="6">
        <v>1.6203703125938773E-4</v>
      </c>
    </row>
    <row r="5" spans="1:24" hidden="1" x14ac:dyDescent="0.25">
      <c r="A5" s="2">
        <v>57</v>
      </c>
      <c r="B5" t="s">
        <v>117</v>
      </c>
      <c r="C5" t="s">
        <v>19</v>
      </c>
      <c r="D5" t="s">
        <v>115</v>
      </c>
      <c r="E5" t="s">
        <v>21</v>
      </c>
      <c r="F5" t="s">
        <v>107</v>
      </c>
      <c r="G5" s="10">
        <v>13.3</v>
      </c>
      <c r="H5" s="10">
        <v>6</v>
      </c>
      <c r="I5" s="10">
        <v>3.2</v>
      </c>
      <c r="J5" s="10">
        <v>2.7</v>
      </c>
      <c r="K5" s="11">
        <v>0.77</v>
      </c>
      <c r="L5" s="10">
        <v>70.599999999999994</v>
      </c>
      <c r="M5" s="3">
        <v>0.53400000000000003</v>
      </c>
      <c r="N5" s="3">
        <v>25</v>
      </c>
      <c r="O5" s="10">
        <v>40</v>
      </c>
      <c r="P5" s="10">
        <v>21.3</v>
      </c>
      <c r="Q5" s="10">
        <v>11.7</v>
      </c>
      <c r="R5" s="10">
        <v>4.8</v>
      </c>
      <c r="S5" s="7" t="s">
        <v>116</v>
      </c>
      <c r="T5" s="10">
        <v>17.899999999999999</v>
      </c>
      <c r="U5" s="10">
        <v>3.5</v>
      </c>
      <c r="V5" s="5">
        <v>45996.502500000002</v>
      </c>
      <c r="W5" s="5">
        <v>45996.502662037034</v>
      </c>
      <c r="X5" s="6">
        <v>1.6203703125938773E-4</v>
      </c>
    </row>
    <row r="6" spans="1:24" hidden="1" x14ac:dyDescent="0.25">
      <c r="A6" s="2">
        <v>58</v>
      </c>
      <c r="B6" t="s">
        <v>118</v>
      </c>
      <c r="C6" t="s">
        <v>19</v>
      </c>
      <c r="D6" t="s">
        <v>115</v>
      </c>
      <c r="E6" t="s">
        <v>21</v>
      </c>
      <c r="F6" t="s">
        <v>107</v>
      </c>
      <c r="G6" s="10">
        <v>13</v>
      </c>
      <c r="H6" s="10">
        <v>6.1</v>
      </c>
      <c r="I6" s="10">
        <v>3.3</v>
      </c>
      <c r="J6" s="10">
        <v>2.7</v>
      </c>
      <c r="K6" s="11">
        <v>0.81</v>
      </c>
      <c r="L6" s="10">
        <v>70.900000000000006</v>
      </c>
      <c r="M6" s="3">
        <v>0.52600000000000002</v>
      </c>
      <c r="N6" s="3">
        <v>25</v>
      </c>
      <c r="O6" s="10">
        <v>36.6</v>
      </c>
      <c r="P6" s="10">
        <v>23.2</v>
      </c>
      <c r="Q6" s="10">
        <v>12.3</v>
      </c>
      <c r="R6" s="10">
        <v>4.5999999999999996</v>
      </c>
      <c r="S6" s="7" t="s">
        <v>116</v>
      </c>
      <c r="T6" s="10">
        <v>19.899999999999999</v>
      </c>
      <c r="U6" s="10">
        <v>3.8</v>
      </c>
      <c r="V6" s="5">
        <v>45996.502789351849</v>
      </c>
      <c r="W6" s="5">
        <v>45996.502905092595</v>
      </c>
      <c r="X6" s="6">
        <v>1.1574075324460864E-4</v>
      </c>
    </row>
    <row r="7" spans="1:24" x14ac:dyDescent="0.25">
      <c r="A7" s="2">
        <v>59</v>
      </c>
      <c r="B7" t="s">
        <v>119</v>
      </c>
      <c r="C7" t="s">
        <v>19</v>
      </c>
      <c r="D7" t="s">
        <v>115</v>
      </c>
      <c r="E7" t="s">
        <v>24</v>
      </c>
      <c r="F7" t="s">
        <v>107</v>
      </c>
      <c r="G7" s="10">
        <v>12.9</v>
      </c>
      <c r="H7" s="10">
        <v>6.8</v>
      </c>
      <c r="I7" s="10">
        <v>3.9</v>
      </c>
      <c r="J7" s="10">
        <v>2.9</v>
      </c>
      <c r="K7" s="11">
        <v>0.8</v>
      </c>
      <c r="L7" s="10">
        <v>69.400000000000006</v>
      </c>
      <c r="M7" s="3">
        <v>0.52600000000000002</v>
      </c>
      <c r="N7" s="3">
        <v>25</v>
      </c>
      <c r="O7" s="10">
        <v>25.8</v>
      </c>
      <c r="P7" s="10">
        <v>15.7</v>
      </c>
      <c r="Q7" s="10">
        <v>11.7</v>
      </c>
      <c r="R7" s="10">
        <v>7.8</v>
      </c>
      <c r="S7" s="10">
        <v>19.399999999999999</v>
      </c>
      <c r="T7" s="10">
        <v>11.9</v>
      </c>
      <c r="U7" s="10">
        <v>3.5</v>
      </c>
      <c r="V7" s="5">
        <v>45996.508437500001</v>
      </c>
      <c r="W7" s="5">
        <v>45996.508668981478</v>
      </c>
      <c r="X7" s="6">
        <v>2.3148147738538682E-4</v>
      </c>
    </row>
    <row r="8" spans="1:24" x14ac:dyDescent="0.25">
      <c r="A8" s="2">
        <v>60</v>
      </c>
      <c r="B8" t="s">
        <v>120</v>
      </c>
      <c r="C8" t="s">
        <v>19</v>
      </c>
      <c r="D8" t="s">
        <v>115</v>
      </c>
      <c r="E8" t="s">
        <v>24</v>
      </c>
      <c r="F8" t="s">
        <v>107</v>
      </c>
      <c r="G8" s="10">
        <v>13</v>
      </c>
      <c r="H8" s="10">
        <v>6.7</v>
      </c>
      <c r="I8" s="10">
        <v>3.7</v>
      </c>
      <c r="J8" s="10">
        <v>2.8</v>
      </c>
      <c r="K8" s="11">
        <v>0.82</v>
      </c>
      <c r="L8" s="10">
        <v>69.5</v>
      </c>
      <c r="M8" s="3">
        <v>0.52700000000000002</v>
      </c>
      <c r="N8" s="3">
        <v>25</v>
      </c>
      <c r="O8" s="10">
        <v>26</v>
      </c>
      <c r="P8" s="10">
        <v>14.9</v>
      </c>
      <c r="Q8" s="10">
        <v>9.6</v>
      </c>
      <c r="R8" s="10">
        <v>6.6</v>
      </c>
      <c r="S8" s="10">
        <v>18.5</v>
      </c>
      <c r="T8" s="10">
        <v>12.5</v>
      </c>
      <c r="U8" s="10">
        <v>3.3</v>
      </c>
      <c r="V8" s="5">
        <v>45996.50880787037</v>
      </c>
      <c r="W8" s="5">
        <v>45996.508969907409</v>
      </c>
      <c r="X8" s="6">
        <v>1.6203703125938773E-4</v>
      </c>
    </row>
    <row r="9" spans="1:24" x14ac:dyDescent="0.25">
      <c r="A9" s="2">
        <v>61</v>
      </c>
      <c r="B9" t="s">
        <v>121</v>
      </c>
      <c r="C9" t="s">
        <v>19</v>
      </c>
      <c r="D9" t="s">
        <v>115</v>
      </c>
      <c r="E9" t="s">
        <v>24</v>
      </c>
      <c r="F9" t="s">
        <v>107</v>
      </c>
      <c r="G9" s="10">
        <v>12.7</v>
      </c>
      <c r="H9" s="10">
        <v>6.7</v>
      </c>
      <c r="I9" s="10">
        <v>3.8</v>
      </c>
      <c r="J9" s="10">
        <v>2.8</v>
      </c>
      <c r="K9" s="11">
        <v>0.89</v>
      </c>
      <c r="L9" s="10">
        <v>68.900000000000006</v>
      </c>
      <c r="M9" s="3">
        <v>0.52200000000000002</v>
      </c>
      <c r="N9" s="3">
        <v>25</v>
      </c>
      <c r="O9" s="10">
        <v>23</v>
      </c>
      <c r="P9" s="10">
        <v>12.1</v>
      </c>
      <c r="Q9" s="10">
        <v>8.5</v>
      </c>
      <c r="R9" s="10">
        <v>5.5</v>
      </c>
      <c r="S9" s="10">
        <v>14.9</v>
      </c>
      <c r="T9" s="10">
        <v>10.199999999999999</v>
      </c>
      <c r="U9" s="10">
        <v>3.8</v>
      </c>
      <c r="V9" s="5">
        <v>45996.509108796294</v>
      </c>
      <c r="W9" s="5">
        <v>45996.509305555555</v>
      </c>
      <c r="X9" s="6">
        <v>1.9675926887430251E-4</v>
      </c>
    </row>
    <row r="10" spans="1:24" s="15" customFormat="1" x14ac:dyDescent="0.25">
      <c r="A10" s="14">
        <v>62</v>
      </c>
      <c r="B10" s="15" t="s">
        <v>122</v>
      </c>
      <c r="C10" s="15" t="s">
        <v>19</v>
      </c>
      <c r="D10" s="15" t="s">
        <v>115</v>
      </c>
      <c r="E10" s="15" t="s">
        <v>63</v>
      </c>
      <c r="F10" s="15" t="s">
        <v>107</v>
      </c>
      <c r="G10" s="16">
        <v>13.1</v>
      </c>
      <c r="H10" s="16">
        <v>6.8</v>
      </c>
      <c r="I10" s="16">
        <v>3.9</v>
      </c>
      <c r="J10" s="16">
        <v>2.8</v>
      </c>
      <c r="K10" s="17">
        <v>0.91</v>
      </c>
      <c r="L10" s="16">
        <v>68</v>
      </c>
      <c r="M10" s="18">
        <v>0.52900000000000003</v>
      </c>
      <c r="N10" s="18">
        <v>25</v>
      </c>
      <c r="O10" s="16">
        <v>26.8</v>
      </c>
      <c r="P10" s="16">
        <v>11.9</v>
      </c>
      <c r="Q10" s="16">
        <v>8.5</v>
      </c>
      <c r="R10" s="16">
        <v>7.2</v>
      </c>
      <c r="S10" s="16">
        <v>14.2</v>
      </c>
      <c r="T10" s="16">
        <v>7</v>
      </c>
      <c r="U10" s="16">
        <v>3.8</v>
      </c>
      <c r="V10" s="19">
        <v>45996.578090277777</v>
      </c>
      <c r="W10" s="19">
        <v>45996.578298611108</v>
      </c>
      <c r="X10" s="20">
        <v>1.9675926887430251E-4</v>
      </c>
    </row>
    <row r="11" spans="1:24" s="15" customFormat="1" x14ac:dyDescent="0.25">
      <c r="A11" s="14">
        <v>63</v>
      </c>
      <c r="B11" s="15" t="s">
        <v>123</v>
      </c>
      <c r="C11" s="15" t="s">
        <v>19</v>
      </c>
      <c r="D11" s="15" t="s">
        <v>115</v>
      </c>
      <c r="E11" s="15" t="s">
        <v>63</v>
      </c>
      <c r="F11" s="15" t="s">
        <v>107</v>
      </c>
      <c r="G11" s="16">
        <v>13</v>
      </c>
      <c r="H11" s="16">
        <v>6.4</v>
      </c>
      <c r="I11" s="16">
        <v>3.8</v>
      </c>
      <c r="J11" s="16">
        <v>2.7</v>
      </c>
      <c r="K11" s="17">
        <v>0.87</v>
      </c>
      <c r="L11" s="16">
        <v>68.8</v>
      </c>
      <c r="M11" s="18">
        <v>0.52900000000000003</v>
      </c>
      <c r="N11" s="18">
        <v>25</v>
      </c>
      <c r="O11" s="16">
        <v>26.9</v>
      </c>
      <c r="P11" s="16">
        <v>12.4</v>
      </c>
      <c r="Q11" s="16">
        <v>9.5</v>
      </c>
      <c r="R11" s="16">
        <v>5.3</v>
      </c>
      <c r="S11" s="16">
        <v>15.5</v>
      </c>
      <c r="T11" s="16">
        <v>9.1</v>
      </c>
      <c r="U11" s="16">
        <v>3.7</v>
      </c>
      <c r="V11" s="19">
        <v>45996.578449074077</v>
      </c>
      <c r="W11" s="19">
        <v>45996.578599537039</v>
      </c>
      <c r="X11" s="20">
        <v>1.6203703125938773E-4</v>
      </c>
    </row>
    <row r="12" spans="1:24" s="15" customFormat="1" x14ac:dyDescent="0.25">
      <c r="A12" s="14">
        <v>64</v>
      </c>
      <c r="B12" s="15" t="s">
        <v>124</v>
      </c>
      <c r="C12" s="15" t="s">
        <v>19</v>
      </c>
      <c r="D12" s="15" t="s">
        <v>115</v>
      </c>
      <c r="E12" s="15" t="s">
        <v>63</v>
      </c>
      <c r="F12" s="15" t="s">
        <v>107</v>
      </c>
      <c r="G12" s="16">
        <v>12.8</v>
      </c>
      <c r="H12" s="16">
        <v>6.7</v>
      </c>
      <c r="I12" s="16">
        <v>3.6</v>
      </c>
      <c r="J12" s="16">
        <v>2.8</v>
      </c>
      <c r="K12" s="17">
        <v>0.86</v>
      </c>
      <c r="L12" s="16">
        <v>69.099999999999994</v>
      </c>
      <c r="M12" s="18">
        <v>0.55500000000000005</v>
      </c>
      <c r="N12" s="18">
        <v>25</v>
      </c>
      <c r="O12" s="16">
        <v>21.7</v>
      </c>
      <c r="P12" s="16">
        <v>12.3</v>
      </c>
      <c r="Q12" s="16">
        <v>9</v>
      </c>
      <c r="R12" s="16">
        <v>6.6</v>
      </c>
      <c r="S12" s="16">
        <v>14.8</v>
      </c>
      <c r="T12" s="16">
        <v>10.3</v>
      </c>
      <c r="U12" s="16">
        <v>2.6</v>
      </c>
      <c r="V12" s="19">
        <v>45996.578773148147</v>
      </c>
      <c r="W12" s="19">
        <v>45996.578888888886</v>
      </c>
      <c r="X12" s="20">
        <v>1.1574075324460864E-4</v>
      </c>
    </row>
    <row r="13" spans="1:24" x14ac:dyDescent="0.25">
      <c r="A13" s="2">
        <v>65</v>
      </c>
      <c r="B13" t="s">
        <v>125</v>
      </c>
      <c r="C13" t="s">
        <v>19</v>
      </c>
      <c r="D13" t="s">
        <v>115</v>
      </c>
      <c r="E13" t="s">
        <v>33</v>
      </c>
      <c r="F13" t="s">
        <v>107</v>
      </c>
      <c r="G13" s="10">
        <v>13</v>
      </c>
      <c r="H13" s="10">
        <v>6.7</v>
      </c>
      <c r="I13" s="10">
        <v>3.8</v>
      </c>
      <c r="J13" s="10">
        <v>2.8</v>
      </c>
      <c r="K13" s="11">
        <v>0.82</v>
      </c>
      <c r="L13" s="10">
        <v>69.2</v>
      </c>
      <c r="M13" s="3">
        <v>0.53200000000000003</v>
      </c>
      <c r="N13" s="3">
        <v>25</v>
      </c>
      <c r="O13" s="10">
        <v>26.5</v>
      </c>
      <c r="P13" s="10">
        <v>13.6</v>
      </c>
      <c r="Q13" s="10">
        <v>10.7</v>
      </c>
      <c r="R13" s="10">
        <v>5.9</v>
      </c>
      <c r="S13" s="10">
        <v>16.8</v>
      </c>
      <c r="T13" s="10">
        <v>10.4</v>
      </c>
      <c r="U13" s="10">
        <v>3.4</v>
      </c>
      <c r="V13" s="5">
        <v>45996.585740740738</v>
      </c>
      <c r="W13" s="5">
        <v>45996.585868055554</v>
      </c>
      <c r="X13" s="6">
        <v>1.1574075324460864E-4</v>
      </c>
    </row>
    <row r="14" spans="1:24" x14ac:dyDescent="0.25">
      <c r="A14" s="2">
        <v>66</v>
      </c>
      <c r="B14" t="s">
        <v>126</v>
      </c>
      <c r="C14" t="s">
        <v>19</v>
      </c>
      <c r="D14" t="s">
        <v>115</v>
      </c>
      <c r="E14" t="s">
        <v>33</v>
      </c>
      <c r="F14" t="s">
        <v>107</v>
      </c>
      <c r="G14" s="10">
        <v>12.9</v>
      </c>
      <c r="H14" s="10">
        <v>6.8</v>
      </c>
      <c r="I14" s="10">
        <v>3.7</v>
      </c>
      <c r="J14" s="10">
        <v>2.9</v>
      </c>
      <c r="K14" s="11">
        <v>0.8</v>
      </c>
      <c r="L14" s="10">
        <v>69.5</v>
      </c>
      <c r="M14" s="3">
        <v>0.54400000000000004</v>
      </c>
      <c r="N14" s="3">
        <v>25</v>
      </c>
      <c r="O14" s="10">
        <v>24.9</v>
      </c>
      <c r="P14" s="10">
        <v>15.2</v>
      </c>
      <c r="Q14" s="10">
        <v>10.7</v>
      </c>
      <c r="R14" s="10">
        <v>9.1</v>
      </c>
      <c r="S14" s="7" t="s">
        <v>116</v>
      </c>
      <c r="T14" s="10">
        <v>12.1</v>
      </c>
      <c r="U14" s="10">
        <v>2.5</v>
      </c>
      <c r="V14" s="5">
        <v>45996.586006944446</v>
      </c>
      <c r="W14" s="5">
        <v>45996.586134259262</v>
      </c>
      <c r="X14" s="6">
        <v>1.2731482274830341E-4</v>
      </c>
    </row>
    <row r="15" spans="1:24" x14ac:dyDescent="0.25">
      <c r="A15" s="2">
        <v>67</v>
      </c>
      <c r="B15" t="s">
        <v>127</v>
      </c>
      <c r="C15" t="s">
        <v>19</v>
      </c>
      <c r="D15" t="s">
        <v>115</v>
      </c>
      <c r="E15" t="s">
        <v>33</v>
      </c>
      <c r="F15" t="s">
        <v>107</v>
      </c>
      <c r="G15" s="10">
        <v>13</v>
      </c>
      <c r="H15" s="10">
        <v>6.7</v>
      </c>
      <c r="I15" s="10">
        <v>3.8</v>
      </c>
      <c r="J15" s="10">
        <v>2.8</v>
      </c>
      <c r="K15" s="11">
        <v>0.84</v>
      </c>
      <c r="L15" s="10">
        <v>68.400000000000006</v>
      </c>
      <c r="M15" s="3">
        <v>0.52300000000000002</v>
      </c>
      <c r="N15" s="3">
        <v>25</v>
      </c>
      <c r="O15" s="10">
        <v>26.9</v>
      </c>
      <c r="P15" s="10">
        <v>13.4</v>
      </c>
      <c r="Q15" s="10">
        <v>9.1</v>
      </c>
      <c r="R15" s="10">
        <v>6.4</v>
      </c>
      <c r="S15" s="10">
        <v>17.600000000000001</v>
      </c>
      <c r="T15" s="10">
        <v>7.9</v>
      </c>
      <c r="U15" s="10">
        <v>3.6</v>
      </c>
      <c r="V15" s="5">
        <v>45996.586261574077</v>
      </c>
      <c r="W15" s="5">
        <v>45996.586388888885</v>
      </c>
      <c r="X15" s="6">
        <v>1.2731482274830341E-4</v>
      </c>
    </row>
    <row r="16" spans="1:24" x14ac:dyDescent="0.25">
      <c r="B16" s="1" t="s">
        <v>75</v>
      </c>
      <c r="G16" s="12">
        <f t="shared" ref="G16:U16" si="0">AVERAGE(G4:G15)</f>
        <v>12.966666666666667</v>
      </c>
      <c r="H16" s="12">
        <f t="shared" si="0"/>
        <v>6.55</v>
      </c>
      <c r="I16" s="12">
        <f t="shared" si="0"/>
        <v>3.6416666666666662</v>
      </c>
      <c r="J16" s="12">
        <f t="shared" si="0"/>
        <v>2.7916666666666665</v>
      </c>
      <c r="K16" s="13">
        <f t="shared" si="0"/>
        <v>0.83083333333333342</v>
      </c>
      <c r="L16" s="12">
        <f t="shared" si="0"/>
        <v>69.416666666666671</v>
      </c>
      <c r="M16" s="8">
        <f t="shared" si="0"/>
        <v>0.53233333333333333</v>
      </c>
      <c r="N16" s="8">
        <f t="shared" si="0"/>
        <v>25</v>
      </c>
      <c r="O16" s="12">
        <f t="shared" si="0"/>
        <v>28.141666666666666</v>
      </c>
      <c r="P16" s="12">
        <f t="shared" si="0"/>
        <v>15.575000000000001</v>
      </c>
      <c r="Q16" s="12">
        <f t="shared" si="0"/>
        <v>10.341666666666667</v>
      </c>
      <c r="R16" s="12">
        <f t="shared" si="0"/>
        <v>6.5750000000000002</v>
      </c>
      <c r="S16" s="12">
        <f t="shared" si="0"/>
        <v>16.462499999999999</v>
      </c>
      <c r="T16" s="12">
        <f t="shared" si="0"/>
        <v>12.375</v>
      </c>
      <c r="U16" s="12">
        <f t="shared" si="0"/>
        <v>3.4000000000000004</v>
      </c>
    </row>
    <row r="17" spans="2:21" x14ac:dyDescent="0.25">
      <c r="B17" s="1" t="s">
        <v>76</v>
      </c>
      <c r="G17" s="12">
        <f t="shared" ref="G17:U17" si="1">MIN(G4:G15)</f>
        <v>12.7</v>
      </c>
      <c r="H17" s="12">
        <f t="shared" si="1"/>
        <v>6</v>
      </c>
      <c r="I17" s="12">
        <f t="shared" si="1"/>
        <v>3.2</v>
      </c>
      <c r="J17" s="12">
        <f t="shared" si="1"/>
        <v>2.7</v>
      </c>
      <c r="K17" s="13">
        <f t="shared" si="1"/>
        <v>0.77</v>
      </c>
      <c r="L17" s="12">
        <f t="shared" si="1"/>
        <v>68</v>
      </c>
      <c r="M17" s="8">
        <f t="shared" si="1"/>
        <v>0.52200000000000002</v>
      </c>
      <c r="N17" s="8">
        <f t="shared" si="1"/>
        <v>25</v>
      </c>
      <c r="O17" s="12">
        <f t="shared" si="1"/>
        <v>21.7</v>
      </c>
      <c r="P17" s="12">
        <f t="shared" si="1"/>
        <v>11.9</v>
      </c>
      <c r="Q17" s="12">
        <f t="shared" si="1"/>
        <v>8.5</v>
      </c>
      <c r="R17" s="12">
        <f t="shared" si="1"/>
        <v>4.5999999999999996</v>
      </c>
      <c r="S17" s="12">
        <f t="shared" si="1"/>
        <v>14.2</v>
      </c>
      <c r="T17" s="12">
        <f t="shared" si="1"/>
        <v>7</v>
      </c>
      <c r="U17" s="12">
        <f t="shared" si="1"/>
        <v>2.5</v>
      </c>
    </row>
    <row r="18" spans="2:21" x14ac:dyDescent="0.25">
      <c r="B18" s="1" t="s">
        <v>77</v>
      </c>
      <c r="G18" s="12">
        <f t="shared" ref="G18:U18" si="2">MAX(G4:G15)</f>
        <v>13.3</v>
      </c>
      <c r="H18" s="12">
        <f t="shared" si="2"/>
        <v>6.8</v>
      </c>
      <c r="I18" s="12">
        <f t="shared" si="2"/>
        <v>3.9</v>
      </c>
      <c r="J18" s="12">
        <f t="shared" si="2"/>
        <v>2.9</v>
      </c>
      <c r="K18" s="13">
        <f t="shared" si="2"/>
        <v>0.91</v>
      </c>
      <c r="L18" s="12">
        <f t="shared" si="2"/>
        <v>70.900000000000006</v>
      </c>
      <c r="M18" s="8">
        <f t="shared" si="2"/>
        <v>0.55500000000000005</v>
      </c>
      <c r="N18" s="8">
        <f t="shared" si="2"/>
        <v>25</v>
      </c>
      <c r="O18" s="12">
        <f t="shared" si="2"/>
        <v>40</v>
      </c>
      <c r="P18" s="12">
        <f t="shared" si="2"/>
        <v>23.2</v>
      </c>
      <c r="Q18" s="12">
        <f t="shared" si="2"/>
        <v>12.8</v>
      </c>
      <c r="R18" s="12">
        <f t="shared" si="2"/>
        <v>9.1</v>
      </c>
      <c r="S18" s="12">
        <f t="shared" si="2"/>
        <v>19.399999999999999</v>
      </c>
      <c r="T18" s="12">
        <f t="shared" si="2"/>
        <v>19.899999999999999</v>
      </c>
      <c r="U18" s="12">
        <f t="shared" si="2"/>
        <v>3.8</v>
      </c>
    </row>
    <row r="19" spans="2:21" x14ac:dyDescent="0.25">
      <c r="B19" s="1" t="s">
        <v>78</v>
      </c>
      <c r="G19" s="12">
        <f t="shared" ref="G19:U19" si="3">STDEV(G4:G15)</f>
        <v>0.14974726182552539</v>
      </c>
      <c r="H19" s="12">
        <f t="shared" si="3"/>
        <v>0.29387690682262935</v>
      </c>
      <c r="I19" s="12">
        <f t="shared" si="3"/>
        <v>0.26097137890209454</v>
      </c>
      <c r="J19" s="12">
        <f t="shared" si="3"/>
        <v>6.6855792342152026E-2</v>
      </c>
      <c r="K19" s="13">
        <f t="shared" si="3"/>
        <v>4.3788403058620917E-2</v>
      </c>
      <c r="L19" s="12">
        <f t="shared" si="3"/>
        <v>0.90937874231240801</v>
      </c>
      <c r="M19" s="8">
        <f t="shared" si="3"/>
        <v>9.7824827981944276E-3</v>
      </c>
      <c r="N19" s="8">
        <f t="shared" si="3"/>
        <v>0</v>
      </c>
      <c r="O19" s="12">
        <f t="shared" si="3"/>
        <v>5.4616777863971882</v>
      </c>
      <c r="P19" s="12">
        <f t="shared" si="3"/>
        <v>3.9875089056611879</v>
      </c>
      <c r="Q19" s="12">
        <f t="shared" si="3"/>
        <v>1.5138501987457056</v>
      </c>
      <c r="R19" s="12">
        <f t="shared" si="3"/>
        <v>1.5064256310280237</v>
      </c>
      <c r="S19" s="12">
        <f t="shared" si="3"/>
        <v>1.9063334290876766</v>
      </c>
      <c r="T19" s="12">
        <f t="shared" si="3"/>
        <v>4.3484845845211622</v>
      </c>
      <c r="U19" s="12">
        <f t="shared" si="3"/>
        <v>0.43693144875264794</v>
      </c>
    </row>
    <row r="21" spans="2:21" x14ac:dyDescent="0.25">
      <c r="B21" s="1" t="s">
        <v>79</v>
      </c>
      <c r="G21" s="12" t="s">
        <v>80</v>
      </c>
      <c r="H21" s="12" t="s">
        <v>80</v>
      </c>
      <c r="I21" s="12" t="s">
        <v>80</v>
      </c>
      <c r="J21" s="12" t="s">
        <v>80</v>
      </c>
      <c r="K21" s="13" t="s">
        <v>80</v>
      </c>
      <c r="L21" s="12" t="s">
        <v>80</v>
      </c>
      <c r="M21" s="8" t="s">
        <v>80</v>
      </c>
      <c r="N21" s="8" t="s">
        <v>80</v>
      </c>
      <c r="O21" s="12" t="s">
        <v>80</v>
      </c>
      <c r="P21" s="12" t="s">
        <v>80</v>
      </c>
      <c r="Q21" s="12" t="s">
        <v>80</v>
      </c>
      <c r="R21" s="12" t="s">
        <v>80</v>
      </c>
      <c r="S21" s="12" t="s">
        <v>80</v>
      </c>
      <c r="T21" s="12" t="s">
        <v>80</v>
      </c>
      <c r="U21" s="12" t="s">
        <v>80</v>
      </c>
    </row>
  </sheetData>
  <autoFilter ref="A3:X19" xr:uid="{C49AB3FC-C717-4915-AE5D-227F32A50D7A}">
    <filterColumn colId="4">
      <filters blank="1">
        <filter val="L1.2 BL"/>
        <filter val="L1.3 BL"/>
        <filter val="L1.3 BLOFF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CF42-7E40-482D-85F2-9DB9F25D7F50}">
  <sheetPr filterMode="1"/>
  <dimension ref="A1:V21"/>
  <sheetViews>
    <sheetView workbookViewId="0">
      <selection activeCell="P16" sqref="P16"/>
    </sheetView>
  </sheetViews>
  <sheetFormatPr baseColWidth="10" defaultRowHeight="15" x14ac:dyDescent="0.25"/>
  <cols>
    <col min="1" max="1" width="4" bestFit="1" customWidth="1"/>
    <col min="2" max="2" width="30.42578125" bestFit="1" customWidth="1"/>
    <col min="3" max="3" width="7.5703125" bestFit="1" customWidth="1"/>
    <col min="4" max="4" width="15.28515625" bestFit="1" customWidth="1"/>
    <col min="7" max="19" width="11.5703125" bestFit="1" customWidth="1"/>
    <col min="20" max="21" width="18.140625" bestFit="1" customWidth="1"/>
    <col min="22" max="22" width="11.5703125" bestFit="1" customWidth="1"/>
  </cols>
  <sheetData>
    <row r="1" spans="1:22" s="1" customFormat="1" x14ac:dyDescent="0.25">
      <c r="A1" s="1" t="s">
        <v>0</v>
      </c>
    </row>
    <row r="3" spans="1:22" x14ac:dyDescent="0.25">
      <c r="A3" s="2" t="s">
        <v>1</v>
      </c>
      <c r="B3" s="2" t="s">
        <v>128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82</v>
      </c>
      <c r="H3" s="2" t="s">
        <v>83</v>
      </c>
      <c r="I3" s="2" t="s">
        <v>108</v>
      </c>
      <c r="J3" s="2" t="s">
        <v>85</v>
      </c>
      <c r="K3" s="2" t="s">
        <v>86</v>
      </c>
      <c r="L3" s="2" t="s">
        <v>109</v>
      </c>
      <c r="M3" s="2" t="s">
        <v>7</v>
      </c>
      <c r="N3" s="2" t="s">
        <v>87</v>
      </c>
      <c r="O3" s="2" t="s">
        <v>88</v>
      </c>
      <c r="P3" s="2" t="s">
        <v>89</v>
      </c>
      <c r="Q3" s="2" t="s">
        <v>90</v>
      </c>
      <c r="R3" s="2" t="s">
        <v>91</v>
      </c>
      <c r="S3" s="2" t="s">
        <v>112</v>
      </c>
      <c r="T3" s="2" t="s">
        <v>15</v>
      </c>
      <c r="U3" s="2" t="s">
        <v>16</v>
      </c>
      <c r="V3" s="2" t="s">
        <v>17</v>
      </c>
    </row>
    <row r="4" spans="1:22" hidden="1" x14ac:dyDescent="0.25">
      <c r="A4" s="2">
        <v>68</v>
      </c>
      <c r="B4" t="s">
        <v>129</v>
      </c>
      <c r="C4" t="s">
        <v>19</v>
      </c>
      <c r="D4" t="s">
        <v>130</v>
      </c>
      <c r="E4" t="s">
        <v>21</v>
      </c>
      <c r="F4" t="s">
        <v>128</v>
      </c>
      <c r="G4" s="10">
        <v>11.5</v>
      </c>
      <c r="H4" s="10">
        <v>7</v>
      </c>
      <c r="I4" s="10">
        <v>1.7</v>
      </c>
      <c r="J4" s="10">
        <v>3.3</v>
      </c>
      <c r="K4" s="10">
        <v>1.4</v>
      </c>
      <c r="L4" s="10">
        <v>59</v>
      </c>
      <c r="M4" s="3">
        <v>25</v>
      </c>
      <c r="N4" s="10">
        <v>16</v>
      </c>
      <c r="O4" s="10">
        <v>16</v>
      </c>
      <c r="P4" s="10">
        <v>5.8</v>
      </c>
      <c r="Q4" s="10">
        <v>6.5</v>
      </c>
      <c r="R4" s="7" t="s">
        <v>131</v>
      </c>
      <c r="S4" s="10">
        <v>6.5</v>
      </c>
      <c r="T4" s="5">
        <v>45996.50304398148</v>
      </c>
      <c r="U4" s="5">
        <v>45996.503275462965</v>
      </c>
      <c r="V4" s="6">
        <v>2.3148147738538682E-4</v>
      </c>
    </row>
    <row r="5" spans="1:22" hidden="1" x14ac:dyDescent="0.25">
      <c r="A5" s="2">
        <v>69</v>
      </c>
      <c r="B5" t="s">
        <v>132</v>
      </c>
      <c r="C5" t="s">
        <v>19</v>
      </c>
      <c r="D5" t="s">
        <v>130</v>
      </c>
      <c r="E5" t="s">
        <v>21</v>
      </c>
      <c r="F5" t="s">
        <v>128</v>
      </c>
      <c r="G5" s="10">
        <v>11.5</v>
      </c>
      <c r="H5" s="10">
        <v>7.4</v>
      </c>
      <c r="I5" s="10">
        <v>1.7</v>
      </c>
      <c r="J5" s="10">
        <v>3.3</v>
      </c>
      <c r="K5" s="10">
        <v>1.3</v>
      </c>
      <c r="L5" s="10">
        <v>59.3</v>
      </c>
      <c r="M5" s="3">
        <v>25</v>
      </c>
      <c r="N5" s="10">
        <v>14.8</v>
      </c>
      <c r="O5" s="10">
        <v>15.1</v>
      </c>
      <c r="P5" s="10">
        <v>6.7</v>
      </c>
      <c r="Q5" s="10">
        <v>6.5</v>
      </c>
      <c r="R5" s="7" t="s">
        <v>131</v>
      </c>
      <c r="S5" s="10">
        <v>5.7</v>
      </c>
      <c r="T5" s="5">
        <v>45996.503449074073</v>
      </c>
      <c r="U5" s="5">
        <v>45996.503645833334</v>
      </c>
      <c r="V5" s="6">
        <v>1.9675926887430251E-4</v>
      </c>
    </row>
    <row r="6" spans="1:22" hidden="1" x14ac:dyDescent="0.25">
      <c r="A6" s="2">
        <v>70</v>
      </c>
      <c r="B6" t="s">
        <v>133</v>
      </c>
      <c r="C6" t="s">
        <v>19</v>
      </c>
      <c r="D6" t="s">
        <v>130</v>
      </c>
      <c r="E6" t="s">
        <v>21</v>
      </c>
      <c r="F6" t="s">
        <v>128</v>
      </c>
      <c r="G6" s="10">
        <v>11.6</v>
      </c>
      <c r="H6" s="10">
        <v>6.9</v>
      </c>
      <c r="I6" s="10">
        <v>1.7</v>
      </c>
      <c r="J6" s="10">
        <v>3.3</v>
      </c>
      <c r="K6" s="10">
        <v>1.2</v>
      </c>
      <c r="L6" s="10">
        <v>59.3</v>
      </c>
      <c r="M6" s="3">
        <v>25</v>
      </c>
      <c r="N6" s="10">
        <v>16.7</v>
      </c>
      <c r="O6" s="10">
        <v>14.6</v>
      </c>
      <c r="P6" s="10">
        <v>6.3</v>
      </c>
      <c r="Q6" s="10">
        <v>6.4</v>
      </c>
      <c r="R6" s="7" t="s">
        <v>131</v>
      </c>
      <c r="S6" s="10">
        <v>6</v>
      </c>
      <c r="T6" s="5">
        <v>45996.503784722219</v>
      </c>
      <c r="U6" s="5">
        <v>45996.503946759258</v>
      </c>
      <c r="V6" s="6">
        <v>1.6203703125938773E-4</v>
      </c>
    </row>
    <row r="7" spans="1:22" x14ac:dyDescent="0.25">
      <c r="A7" s="2">
        <v>71</v>
      </c>
      <c r="B7" t="s">
        <v>134</v>
      </c>
      <c r="C7" t="s">
        <v>19</v>
      </c>
      <c r="D7" t="s">
        <v>130</v>
      </c>
      <c r="E7" t="s">
        <v>24</v>
      </c>
      <c r="F7" t="s">
        <v>128</v>
      </c>
      <c r="G7" s="10">
        <v>11.7</v>
      </c>
      <c r="H7" s="10">
        <v>7.7</v>
      </c>
      <c r="I7" s="10">
        <v>1.7</v>
      </c>
      <c r="J7" s="10">
        <v>3.5</v>
      </c>
      <c r="K7" s="10">
        <v>1.4</v>
      </c>
      <c r="L7" s="10">
        <v>59.2</v>
      </c>
      <c r="M7" s="3">
        <v>25</v>
      </c>
      <c r="N7" s="10">
        <v>12.5</v>
      </c>
      <c r="O7" s="10">
        <v>11.4</v>
      </c>
      <c r="P7" s="10">
        <v>4.5999999999999996</v>
      </c>
      <c r="Q7" s="10">
        <v>4.5</v>
      </c>
      <c r="R7" s="7" t="s">
        <v>131</v>
      </c>
      <c r="S7" s="10">
        <v>3.4</v>
      </c>
      <c r="T7" s="5">
        <v>45996.509456018517</v>
      </c>
      <c r="U7" s="5">
        <v>45996.509699074071</v>
      </c>
      <c r="V7" s="6">
        <v>2.3148147738538682E-4</v>
      </c>
    </row>
    <row r="8" spans="1:22" x14ac:dyDescent="0.25">
      <c r="A8" s="2">
        <v>72</v>
      </c>
      <c r="B8" t="s">
        <v>135</v>
      </c>
      <c r="C8" t="s">
        <v>19</v>
      </c>
      <c r="D8" t="s">
        <v>130</v>
      </c>
      <c r="E8" t="s">
        <v>24</v>
      </c>
      <c r="F8" t="s">
        <v>128</v>
      </c>
      <c r="G8" s="10">
        <v>11.6</v>
      </c>
      <c r="H8" s="10">
        <v>7.9</v>
      </c>
      <c r="I8" s="10">
        <v>1.7</v>
      </c>
      <c r="J8" s="10">
        <v>3.4</v>
      </c>
      <c r="K8" s="10">
        <v>1.3</v>
      </c>
      <c r="L8" s="10">
        <v>59.8</v>
      </c>
      <c r="M8" s="3">
        <v>25</v>
      </c>
      <c r="N8" s="10">
        <v>10.199999999999999</v>
      </c>
      <c r="O8" s="10">
        <v>8.4</v>
      </c>
      <c r="P8" s="10">
        <v>5</v>
      </c>
      <c r="Q8" s="10">
        <v>4.0999999999999996</v>
      </c>
      <c r="R8" s="7" t="s">
        <v>131</v>
      </c>
      <c r="S8" s="10">
        <v>3.4</v>
      </c>
      <c r="T8" s="5">
        <v>45996.50986111111</v>
      </c>
      <c r="U8" s="5">
        <v>45996.510023148148</v>
      </c>
      <c r="V8" s="6">
        <v>1.6203703125938773E-4</v>
      </c>
    </row>
    <row r="9" spans="1:22" x14ac:dyDescent="0.25">
      <c r="A9" s="2">
        <v>73</v>
      </c>
      <c r="B9" t="s">
        <v>136</v>
      </c>
      <c r="C9" t="s">
        <v>19</v>
      </c>
      <c r="D9" t="s">
        <v>130</v>
      </c>
      <c r="E9" t="s">
        <v>24</v>
      </c>
      <c r="F9" t="s">
        <v>128</v>
      </c>
      <c r="G9" s="10">
        <v>11.5</v>
      </c>
      <c r="H9" s="10">
        <v>8</v>
      </c>
      <c r="I9" s="10">
        <v>1.8</v>
      </c>
      <c r="J9" s="10">
        <v>3.5</v>
      </c>
      <c r="K9" s="10">
        <v>1.3</v>
      </c>
      <c r="L9" s="10">
        <v>59.6</v>
      </c>
      <c r="M9" s="3">
        <v>25</v>
      </c>
      <c r="N9" s="10">
        <v>10.3</v>
      </c>
      <c r="O9" s="10">
        <v>9.5</v>
      </c>
      <c r="P9" s="10">
        <v>7.3</v>
      </c>
      <c r="Q9" s="10">
        <v>5.4</v>
      </c>
      <c r="R9" s="10">
        <v>10.9</v>
      </c>
      <c r="S9" s="10">
        <v>3</v>
      </c>
      <c r="T9" s="5">
        <v>45996.510162037041</v>
      </c>
      <c r="U9" s="5">
        <v>45996.510277777779</v>
      </c>
      <c r="V9" s="6">
        <v>1.1574075324460864E-4</v>
      </c>
    </row>
    <row r="10" spans="1:22" s="15" customFormat="1" x14ac:dyDescent="0.25">
      <c r="A10" s="14">
        <v>74</v>
      </c>
      <c r="B10" s="15" t="s">
        <v>137</v>
      </c>
      <c r="C10" s="15" t="s">
        <v>19</v>
      </c>
      <c r="D10" s="15" t="s">
        <v>130</v>
      </c>
      <c r="E10" s="15" t="s">
        <v>63</v>
      </c>
      <c r="F10" s="15" t="s">
        <v>128</v>
      </c>
      <c r="G10" s="16">
        <v>11.5</v>
      </c>
      <c r="H10" s="16">
        <v>7.9</v>
      </c>
      <c r="I10" s="16">
        <v>1.8</v>
      </c>
      <c r="J10" s="16">
        <v>3.5</v>
      </c>
      <c r="K10" s="16">
        <v>1.3</v>
      </c>
      <c r="L10" s="16">
        <v>59.8</v>
      </c>
      <c r="M10" s="18">
        <v>25</v>
      </c>
      <c r="N10" s="16">
        <v>9.4</v>
      </c>
      <c r="O10" s="16">
        <v>11.2</v>
      </c>
      <c r="P10" s="16">
        <v>8.6</v>
      </c>
      <c r="Q10" s="16">
        <v>6.8</v>
      </c>
      <c r="R10" s="21" t="s">
        <v>131</v>
      </c>
      <c r="S10" s="16">
        <v>2.9</v>
      </c>
      <c r="T10" s="19">
        <v>45996.579143518517</v>
      </c>
      <c r="U10" s="19">
        <v>45996.579386574071</v>
      </c>
      <c r="V10" s="20">
        <v>2.430555468890816E-4</v>
      </c>
    </row>
    <row r="11" spans="1:22" s="15" customFormat="1" x14ac:dyDescent="0.25">
      <c r="A11" s="14">
        <v>75</v>
      </c>
      <c r="B11" s="15" t="s">
        <v>138</v>
      </c>
      <c r="C11" s="15" t="s">
        <v>19</v>
      </c>
      <c r="D11" s="15" t="s">
        <v>130</v>
      </c>
      <c r="E11" s="15" t="s">
        <v>63</v>
      </c>
      <c r="F11" s="15" t="s">
        <v>128</v>
      </c>
      <c r="G11" s="16">
        <v>11.5</v>
      </c>
      <c r="H11" s="16">
        <v>7.8</v>
      </c>
      <c r="I11" s="16">
        <v>1.7</v>
      </c>
      <c r="J11" s="16">
        <v>3.1</v>
      </c>
      <c r="K11" s="16">
        <v>1.2</v>
      </c>
      <c r="L11" s="16">
        <v>61.4</v>
      </c>
      <c r="M11" s="18">
        <v>25</v>
      </c>
      <c r="N11" s="16">
        <v>8.6999999999999993</v>
      </c>
      <c r="O11" s="16">
        <v>7.8</v>
      </c>
      <c r="P11" s="16">
        <v>6.5</v>
      </c>
      <c r="Q11" s="16">
        <v>6</v>
      </c>
      <c r="R11" s="21" t="s">
        <v>131</v>
      </c>
      <c r="S11" s="16">
        <v>3.6</v>
      </c>
      <c r="T11" s="19">
        <v>45996.579513888886</v>
      </c>
      <c r="U11" s="19">
        <v>45996.579675925925</v>
      </c>
      <c r="V11" s="20">
        <v>1.6203703125938773E-4</v>
      </c>
    </row>
    <row r="12" spans="1:22" s="15" customFormat="1" x14ac:dyDescent="0.25">
      <c r="A12" s="14">
        <v>76</v>
      </c>
      <c r="B12" s="15" t="s">
        <v>139</v>
      </c>
      <c r="C12" s="15" t="s">
        <v>19</v>
      </c>
      <c r="D12" s="15" t="s">
        <v>130</v>
      </c>
      <c r="E12" s="15" t="s">
        <v>63</v>
      </c>
      <c r="F12" s="15" t="s">
        <v>128</v>
      </c>
      <c r="G12" s="16">
        <v>11.6</v>
      </c>
      <c r="H12" s="16">
        <v>7.8</v>
      </c>
      <c r="I12" s="16">
        <v>1.8</v>
      </c>
      <c r="J12" s="16">
        <v>3.4</v>
      </c>
      <c r="K12" s="16">
        <v>1.2</v>
      </c>
      <c r="L12" s="16">
        <v>60.4</v>
      </c>
      <c r="M12" s="18">
        <v>25</v>
      </c>
      <c r="N12" s="16">
        <v>10.4</v>
      </c>
      <c r="O12" s="16">
        <v>9.4</v>
      </c>
      <c r="P12" s="16">
        <v>8.3000000000000007</v>
      </c>
      <c r="Q12" s="16">
        <v>7.1</v>
      </c>
      <c r="R12" s="21" t="s">
        <v>131</v>
      </c>
      <c r="S12" s="16">
        <v>3.3</v>
      </c>
      <c r="T12" s="19">
        <v>45996.579826388886</v>
      </c>
      <c r="U12" s="19">
        <v>45996.579976851855</v>
      </c>
      <c r="V12" s="20">
        <v>1.6203703125938773E-4</v>
      </c>
    </row>
    <row r="13" spans="1:22" x14ac:dyDescent="0.25">
      <c r="A13" s="2">
        <v>77</v>
      </c>
      <c r="B13" t="s">
        <v>140</v>
      </c>
      <c r="C13" t="s">
        <v>19</v>
      </c>
      <c r="D13" t="s">
        <v>130</v>
      </c>
      <c r="E13" t="s">
        <v>33</v>
      </c>
      <c r="F13" t="s">
        <v>128</v>
      </c>
      <c r="G13" s="10">
        <v>11.5</v>
      </c>
      <c r="H13" s="10">
        <v>8</v>
      </c>
      <c r="I13" s="10">
        <v>1.8</v>
      </c>
      <c r="J13" s="10">
        <v>3.5</v>
      </c>
      <c r="K13" s="10">
        <v>1.4</v>
      </c>
      <c r="L13" s="10">
        <v>59</v>
      </c>
      <c r="M13" s="3">
        <v>25</v>
      </c>
      <c r="N13" s="10">
        <v>8.1999999999999993</v>
      </c>
      <c r="O13" s="10">
        <v>9.1999999999999993</v>
      </c>
      <c r="P13" s="10">
        <v>8.6999999999999993</v>
      </c>
      <c r="Q13" s="10">
        <v>5.8</v>
      </c>
      <c r="R13" s="7" t="s">
        <v>131</v>
      </c>
      <c r="S13" s="10">
        <v>2.8</v>
      </c>
      <c r="T13" s="5">
        <v>45996.586701388886</v>
      </c>
      <c r="U13" s="5">
        <v>45996.586863425924</v>
      </c>
      <c r="V13" s="6">
        <v>1.6203703125938773E-4</v>
      </c>
    </row>
    <row r="14" spans="1:22" x14ac:dyDescent="0.25">
      <c r="A14" s="2">
        <v>78</v>
      </c>
      <c r="B14" t="s">
        <v>141</v>
      </c>
      <c r="C14" t="s">
        <v>19</v>
      </c>
      <c r="D14" t="s">
        <v>130</v>
      </c>
      <c r="E14" t="s">
        <v>33</v>
      </c>
      <c r="F14" t="s">
        <v>128</v>
      </c>
      <c r="G14" s="10">
        <v>11.5</v>
      </c>
      <c r="H14" s="10">
        <v>7.8</v>
      </c>
      <c r="I14" s="10">
        <v>1.7</v>
      </c>
      <c r="J14" s="10">
        <v>3.3</v>
      </c>
      <c r="K14" s="10">
        <v>1.3</v>
      </c>
      <c r="L14" s="10">
        <v>60.9</v>
      </c>
      <c r="M14" s="3">
        <v>25</v>
      </c>
      <c r="N14" s="10">
        <v>8.8000000000000007</v>
      </c>
      <c r="O14" s="10">
        <v>8.8000000000000007</v>
      </c>
      <c r="P14" s="10">
        <v>6.8</v>
      </c>
      <c r="Q14" s="10">
        <v>6.3</v>
      </c>
      <c r="R14" s="7" t="s">
        <v>131</v>
      </c>
      <c r="S14" s="10">
        <v>3.2</v>
      </c>
      <c r="T14" s="5">
        <v>45996.587013888886</v>
      </c>
      <c r="U14" s="5">
        <v>45996.587164351855</v>
      </c>
      <c r="V14" s="6">
        <v>1.6203703125938773E-4</v>
      </c>
    </row>
    <row r="15" spans="1:22" x14ac:dyDescent="0.25">
      <c r="A15" s="2">
        <v>79</v>
      </c>
      <c r="B15" t="s">
        <v>142</v>
      </c>
      <c r="C15" t="s">
        <v>19</v>
      </c>
      <c r="D15" t="s">
        <v>130</v>
      </c>
      <c r="E15" t="s">
        <v>33</v>
      </c>
      <c r="F15" t="s">
        <v>128</v>
      </c>
      <c r="G15" s="10">
        <v>11.5</v>
      </c>
      <c r="H15" s="10">
        <v>8.1</v>
      </c>
      <c r="I15" s="10">
        <v>1.8</v>
      </c>
      <c r="J15" s="10">
        <v>3.7</v>
      </c>
      <c r="K15" s="10">
        <v>1.4</v>
      </c>
      <c r="L15" s="10">
        <v>58.5</v>
      </c>
      <c r="M15" s="3">
        <v>25</v>
      </c>
      <c r="N15" s="10">
        <v>8.8000000000000007</v>
      </c>
      <c r="O15" s="10">
        <v>10</v>
      </c>
      <c r="P15" s="10">
        <v>12.2</v>
      </c>
      <c r="Q15" s="10">
        <v>6.3</v>
      </c>
      <c r="R15" s="7" t="s">
        <v>131</v>
      </c>
      <c r="S15" s="10">
        <v>3.5</v>
      </c>
      <c r="T15" s="5">
        <v>45996.587280092594</v>
      </c>
      <c r="U15" s="5">
        <v>45996.587476851855</v>
      </c>
      <c r="V15" s="6">
        <v>1.9675926887430251E-4</v>
      </c>
    </row>
    <row r="16" spans="1:22" x14ac:dyDescent="0.25">
      <c r="B16" s="1" t="s">
        <v>75</v>
      </c>
      <c r="G16" s="12">
        <f t="shared" ref="G16:S16" si="0">AVERAGE(G4:G15)</f>
        <v>11.541666666666666</v>
      </c>
      <c r="H16" s="12">
        <f t="shared" si="0"/>
        <v>7.6916666666666655</v>
      </c>
      <c r="I16" s="12">
        <f t="shared" si="0"/>
        <v>1.7416666666666669</v>
      </c>
      <c r="J16" s="12">
        <f t="shared" si="0"/>
        <v>3.4</v>
      </c>
      <c r="K16" s="12">
        <f t="shared" si="0"/>
        <v>1.3083333333333333</v>
      </c>
      <c r="L16" s="12">
        <f t="shared" si="0"/>
        <v>59.683333333333337</v>
      </c>
      <c r="M16" s="8">
        <f t="shared" si="0"/>
        <v>25</v>
      </c>
      <c r="N16" s="12">
        <f t="shared" si="0"/>
        <v>11.233333333333334</v>
      </c>
      <c r="O16" s="12">
        <f t="shared" si="0"/>
        <v>10.950000000000001</v>
      </c>
      <c r="P16" s="12">
        <f t="shared" si="0"/>
        <v>7.2333333333333334</v>
      </c>
      <c r="Q16" s="12">
        <f t="shared" si="0"/>
        <v>5.9749999999999988</v>
      </c>
      <c r="R16" s="12">
        <f t="shared" si="0"/>
        <v>10.9</v>
      </c>
      <c r="S16" s="12">
        <f t="shared" si="0"/>
        <v>3.941666666666666</v>
      </c>
    </row>
    <row r="17" spans="2:19" x14ac:dyDescent="0.25">
      <c r="B17" s="1" t="s">
        <v>76</v>
      </c>
      <c r="G17" s="12">
        <f t="shared" ref="G17:S17" si="1">MIN(G4:G15)</f>
        <v>11.5</v>
      </c>
      <c r="H17" s="12">
        <f t="shared" si="1"/>
        <v>6.9</v>
      </c>
      <c r="I17" s="12">
        <f t="shared" si="1"/>
        <v>1.7</v>
      </c>
      <c r="J17" s="12">
        <f t="shared" si="1"/>
        <v>3.1</v>
      </c>
      <c r="K17" s="12">
        <f t="shared" si="1"/>
        <v>1.2</v>
      </c>
      <c r="L17" s="12">
        <f t="shared" si="1"/>
        <v>58.5</v>
      </c>
      <c r="M17" s="8">
        <f t="shared" si="1"/>
        <v>25</v>
      </c>
      <c r="N17" s="12">
        <f t="shared" si="1"/>
        <v>8.1999999999999993</v>
      </c>
      <c r="O17" s="12">
        <f t="shared" si="1"/>
        <v>7.8</v>
      </c>
      <c r="P17" s="12">
        <f t="shared" si="1"/>
        <v>4.5999999999999996</v>
      </c>
      <c r="Q17" s="12">
        <f t="shared" si="1"/>
        <v>4.0999999999999996</v>
      </c>
      <c r="R17" s="12">
        <f t="shared" si="1"/>
        <v>10.9</v>
      </c>
      <c r="S17" s="12">
        <f t="shared" si="1"/>
        <v>2.8</v>
      </c>
    </row>
    <row r="18" spans="2:19" x14ac:dyDescent="0.25">
      <c r="B18" s="1" t="s">
        <v>77</v>
      </c>
      <c r="G18" s="12">
        <f t="shared" ref="G18:S18" si="2">MAX(G4:G15)</f>
        <v>11.7</v>
      </c>
      <c r="H18" s="12">
        <f t="shared" si="2"/>
        <v>8.1</v>
      </c>
      <c r="I18" s="12">
        <f t="shared" si="2"/>
        <v>1.8</v>
      </c>
      <c r="J18" s="12">
        <f t="shared" si="2"/>
        <v>3.7</v>
      </c>
      <c r="K18" s="12">
        <f t="shared" si="2"/>
        <v>1.4</v>
      </c>
      <c r="L18" s="12">
        <f t="shared" si="2"/>
        <v>61.4</v>
      </c>
      <c r="M18" s="8">
        <f t="shared" si="2"/>
        <v>25</v>
      </c>
      <c r="N18" s="12">
        <f t="shared" si="2"/>
        <v>16.7</v>
      </c>
      <c r="O18" s="12">
        <f t="shared" si="2"/>
        <v>16</v>
      </c>
      <c r="P18" s="12">
        <f t="shared" si="2"/>
        <v>12.2</v>
      </c>
      <c r="Q18" s="12">
        <f t="shared" si="2"/>
        <v>7.1</v>
      </c>
      <c r="R18" s="12">
        <f t="shared" si="2"/>
        <v>10.9</v>
      </c>
      <c r="S18" s="12">
        <f t="shared" si="2"/>
        <v>6.5</v>
      </c>
    </row>
    <row r="19" spans="2:19" x14ac:dyDescent="0.25">
      <c r="B19" s="1" t="s">
        <v>78</v>
      </c>
      <c r="G19" s="12">
        <f t="shared" ref="G19:S19" si="3">STDEV(G4:G15)</f>
        <v>6.6855792342151915E-2</v>
      </c>
      <c r="H19" s="12">
        <f t="shared" si="3"/>
        <v>0.38954129979043839</v>
      </c>
      <c r="I19" s="12">
        <f t="shared" si="3"/>
        <v>5.1492865054443768E-2</v>
      </c>
      <c r="J19" s="12">
        <f t="shared" si="3"/>
        <v>0.15374122295716153</v>
      </c>
      <c r="K19" s="12">
        <f t="shared" si="3"/>
        <v>7.9296146109875884E-2</v>
      </c>
      <c r="L19" s="12">
        <f t="shared" si="3"/>
        <v>0.84405227469881361</v>
      </c>
      <c r="M19" s="8">
        <f t="shared" si="3"/>
        <v>0</v>
      </c>
      <c r="N19" s="12">
        <f t="shared" si="3"/>
        <v>3.0209370410620271</v>
      </c>
      <c r="O19" s="12">
        <f t="shared" si="3"/>
        <v>2.7933362262225514</v>
      </c>
      <c r="P19" s="12">
        <f t="shared" si="3"/>
        <v>2.0379728490177018</v>
      </c>
      <c r="Q19" s="12">
        <f t="shared" si="3"/>
        <v>0.90163992006485638</v>
      </c>
      <c r="R19" s="12" t="e">
        <f t="shared" si="3"/>
        <v>#DIV/0!</v>
      </c>
      <c r="S19" s="12">
        <f t="shared" si="3"/>
        <v>1.3145744789117391</v>
      </c>
    </row>
    <row r="21" spans="2:19" x14ac:dyDescent="0.25">
      <c r="B21" s="1" t="s">
        <v>79</v>
      </c>
      <c r="G21" s="12" t="s">
        <v>80</v>
      </c>
      <c r="H21" s="12" t="s">
        <v>80</v>
      </c>
      <c r="I21" s="12" t="s">
        <v>80</v>
      </c>
      <c r="J21" s="12" t="s">
        <v>80</v>
      </c>
      <c r="K21" s="12" t="s">
        <v>80</v>
      </c>
      <c r="L21" s="12" t="s">
        <v>80</v>
      </c>
      <c r="M21" s="8" t="s">
        <v>80</v>
      </c>
      <c r="N21" s="12" t="s">
        <v>80</v>
      </c>
      <c r="O21" s="12" t="s">
        <v>80</v>
      </c>
      <c r="P21" s="12" t="s">
        <v>80</v>
      </c>
      <c r="Q21" s="12" t="s">
        <v>80</v>
      </c>
      <c r="R21" s="12" t="s">
        <v>80</v>
      </c>
      <c r="S21" s="12" t="s">
        <v>80</v>
      </c>
    </row>
  </sheetData>
  <autoFilter ref="A3:V19" xr:uid="{5925CF42-7E40-482D-85F2-9DB9F25D7F50}">
    <filterColumn colId="4">
      <filters blank="1">
        <filter val="L1.2 BL"/>
        <filter val="L1.3 BL"/>
        <filter val="L1.3 BLOFF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55268-7DD0-499A-80BC-0320A2093237}">
  <sheetPr filterMode="1"/>
  <dimension ref="A1:V21"/>
  <sheetViews>
    <sheetView tabSelected="1" workbookViewId="0">
      <selection activeCell="E26" sqref="E26"/>
    </sheetView>
  </sheetViews>
  <sheetFormatPr baseColWidth="10" defaultRowHeight="15" x14ac:dyDescent="0.25"/>
  <cols>
    <col min="1" max="1" width="4" bestFit="1" customWidth="1"/>
    <col min="2" max="2" width="30.42578125" bestFit="1" customWidth="1"/>
    <col min="3" max="3" width="7.5703125" bestFit="1" customWidth="1"/>
    <col min="4" max="4" width="15.28515625" bestFit="1" customWidth="1"/>
    <col min="7" max="19" width="11.5703125" bestFit="1" customWidth="1"/>
    <col min="20" max="21" width="18.140625" bestFit="1" customWidth="1"/>
    <col min="22" max="22" width="11.5703125" bestFit="1" customWidth="1"/>
  </cols>
  <sheetData>
    <row r="1" spans="1:22" s="1" customFormat="1" x14ac:dyDescent="0.25">
      <c r="A1" s="1" t="s">
        <v>0</v>
      </c>
    </row>
    <row r="3" spans="1:22" x14ac:dyDescent="0.25">
      <c r="A3" s="2" t="s">
        <v>1</v>
      </c>
      <c r="B3" s="2" t="s">
        <v>143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82</v>
      </c>
      <c r="H3" s="2" t="s">
        <v>83</v>
      </c>
      <c r="I3" s="2" t="s">
        <v>108</v>
      </c>
      <c r="J3" s="2" t="s">
        <v>144</v>
      </c>
      <c r="K3" s="2" t="s">
        <v>85</v>
      </c>
      <c r="L3" s="2" t="s">
        <v>86</v>
      </c>
      <c r="M3" s="2" t="s">
        <v>7</v>
      </c>
      <c r="N3" s="2" t="s">
        <v>87</v>
      </c>
      <c r="O3" s="2" t="s">
        <v>88</v>
      </c>
      <c r="P3" s="2" t="s">
        <v>111</v>
      </c>
      <c r="Q3" s="2" t="s">
        <v>145</v>
      </c>
      <c r="R3" s="2" t="s">
        <v>90</v>
      </c>
      <c r="S3" s="2" t="s">
        <v>91</v>
      </c>
      <c r="T3" s="2" t="s">
        <v>15</v>
      </c>
      <c r="U3" s="2" t="s">
        <v>16</v>
      </c>
      <c r="V3" s="2" t="s">
        <v>17</v>
      </c>
    </row>
    <row r="4" spans="1:22" hidden="1" x14ac:dyDescent="0.25">
      <c r="A4" s="2">
        <v>80</v>
      </c>
      <c r="B4" t="s">
        <v>146</v>
      </c>
      <c r="C4" t="s">
        <v>19</v>
      </c>
      <c r="D4" t="s">
        <v>147</v>
      </c>
      <c r="E4" t="s">
        <v>21</v>
      </c>
      <c r="F4" t="s">
        <v>143</v>
      </c>
      <c r="G4" s="10">
        <v>8.6</v>
      </c>
      <c r="H4" s="10">
        <v>34.4</v>
      </c>
      <c r="I4" s="10">
        <v>1.7</v>
      </c>
      <c r="J4" s="10">
        <v>5.5</v>
      </c>
      <c r="K4" s="10">
        <v>12.4</v>
      </c>
      <c r="L4" s="10">
        <v>6.1</v>
      </c>
      <c r="M4" s="3">
        <v>25</v>
      </c>
      <c r="N4" s="10">
        <v>6.7</v>
      </c>
      <c r="O4" s="10">
        <v>15.3</v>
      </c>
      <c r="P4" s="10">
        <v>21.9</v>
      </c>
      <c r="Q4" s="10">
        <v>25.3</v>
      </c>
      <c r="R4" s="10">
        <v>16.600000000000001</v>
      </c>
      <c r="S4" s="10">
        <v>10.1</v>
      </c>
      <c r="T4" s="5">
        <v>45996.50408564815</v>
      </c>
      <c r="U4" s="5">
        <v>45996.504236111112</v>
      </c>
      <c r="V4" s="6">
        <v>1.5046296175569296E-4</v>
      </c>
    </row>
    <row r="5" spans="1:22" hidden="1" x14ac:dyDescent="0.25">
      <c r="A5" s="2">
        <v>81</v>
      </c>
      <c r="B5" t="s">
        <v>148</v>
      </c>
      <c r="C5" t="s">
        <v>19</v>
      </c>
      <c r="D5" t="s">
        <v>147</v>
      </c>
      <c r="E5" t="s">
        <v>21</v>
      </c>
      <c r="F5" t="s">
        <v>143</v>
      </c>
      <c r="G5" s="10">
        <v>8.6</v>
      </c>
      <c r="H5" s="10">
        <v>34.1</v>
      </c>
      <c r="I5" s="10">
        <v>1.8</v>
      </c>
      <c r="J5" s="10">
        <v>5.6</v>
      </c>
      <c r="K5" s="10">
        <v>12.9</v>
      </c>
      <c r="L5" s="10">
        <v>6</v>
      </c>
      <c r="M5" s="3">
        <v>25</v>
      </c>
      <c r="N5" s="10">
        <v>6.8</v>
      </c>
      <c r="O5" s="10">
        <v>15.8</v>
      </c>
      <c r="P5" s="10">
        <v>22.5</v>
      </c>
      <c r="Q5" s="10">
        <v>26.7</v>
      </c>
      <c r="R5" s="10">
        <v>16.5</v>
      </c>
      <c r="S5" s="10">
        <v>10.9</v>
      </c>
      <c r="T5" s="5">
        <v>45996.50440972222</v>
      </c>
      <c r="U5" s="5">
        <v>45996.504537037035</v>
      </c>
      <c r="V5" s="6">
        <v>1.1574075324460864E-4</v>
      </c>
    </row>
    <row r="6" spans="1:22" hidden="1" x14ac:dyDescent="0.25">
      <c r="A6" s="2">
        <v>82</v>
      </c>
      <c r="B6" t="s">
        <v>149</v>
      </c>
      <c r="C6" t="s">
        <v>19</v>
      </c>
      <c r="D6" t="s">
        <v>147</v>
      </c>
      <c r="E6" t="s">
        <v>21</v>
      </c>
      <c r="F6" t="s">
        <v>143</v>
      </c>
      <c r="G6" s="10">
        <v>8.5</v>
      </c>
      <c r="H6" s="10">
        <v>34.1</v>
      </c>
      <c r="I6" s="10">
        <v>1.8</v>
      </c>
      <c r="J6" s="10">
        <v>5.6</v>
      </c>
      <c r="K6" s="10">
        <v>12.9</v>
      </c>
      <c r="L6" s="10">
        <v>6</v>
      </c>
      <c r="M6" s="3">
        <v>25</v>
      </c>
      <c r="N6" s="10">
        <v>7.4</v>
      </c>
      <c r="O6" s="10">
        <v>16.600000000000001</v>
      </c>
      <c r="P6" s="10">
        <v>23</v>
      </c>
      <c r="Q6" s="10">
        <v>27.5</v>
      </c>
      <c r="R6" s="10">
        <v>17.600000000000001</v>
      </c>
      <c r="S6" s="10">
        <v>12</v>
      </c>
      <c r="T6" s="5">
        <v>45996.504675925928</v>
      </c>
      <c r="U6" s="5">
        <v>45996.504837962966</v>
      </c>
      <c r="V6" s="6">
        <v>1.6203703125938773E-4</v>
      </c>
    </row>
    <row r="7" spans="1:22" x14ac:dyDescent="0.25">
      <c r="A7" s="2">
        <v>83</v>
      </c>
      <c r="B7" t="s">
        <v>150</v>
      </c>
      <c r="C7" t="s">
        <v>19</v>
      </c>
      <c r="D7" t="s">
        <v>147</v>
      </c>
      <c r="E7" t="s">
        <v>24</v>
      </c>
      <c r="F7" t="s">
        <v>143</v>
      </c>
      <c r="G7" s="10">
        <v>8.6</v>
      </c>
      <c r="H7" s="10">
        <v>36</v>
      </c>
      <c r="I7" s="10">
        <v>2.1</v>
      </c>
      <c r="J7" s="10">
        <v>5.2</v>
      </c>
      <c r="K7" s="10">
        <v>12.2</v>
      </c>
      <c r="L7" s="10">
        <v>6.4</v>
      </c>
      <c r="M7" s="3">
        <v>25</v>
      </c>
      <c r="N7" s="10">
        <v>4</v>
      </c>
      <c r="O7" s="10">
        <v>8.1</v>
      </c>
      <c r="P7" s="10">
        <v>16.399999999999999</v>
      </c>
      <c r="Q7" s="10">
        <v>15.6</v>
      </c>
      <c r="R7" s="10">
        <v>14</v>
      </c>
      <c r="S7" s="10">
        <v>5.8</v>
      </c>
      <c r="T7" s="5">
        <v>45996.510497685187</v>
      </c>
      <c r="U7" s="5">
        <v>45996.510729166665</v>
      </c>
      <c r="V7" s="6">
        <v>2.430555468890816E-4</v>
      </c>
    </row>
    <row r="8" spans="1:22" x14ac:dyDescent="0.25">
      <c r="A8" s="2">
        <v>84</v>
      </c>
      <c r="B8" t="s">
        <v>151</v>
      </c>
      <c r="C8" t="s">
        <v>19</v>
      </c>
      <c r="D8" t="s">
        <v>147</v>
      </c>
      <c r="E8" t="s">
        <v>24</v>
      </c>
      <c r="F8" t="s">
        <v>143</v>
      </c>
      <c r="G8" s="10">
        <v>8.6</v>
      </c>
      <c r="H8" s="10">
        <v>36</v>
      </c>
      <c r="I8" s="10">
        <v>2.1</v>
      </c>
      <c r="J8" s="10">
        <v>5.3</v>
      </c>
      <c r="K8" s="10">
        <v>12</v>
      </c>
      <c r="L8" s="10">
        <v>6.3</v>
      </c>
      <c r="M8" s="3">
        <v>25</v>
      </c>
      <c r="N8" s="10">
        <v>4.4000000000000004</v>
      </c>
      <c r="O8" s="10">
        <v>8.5</v>
      </c>
      <c r="P8" s="10">
        <v>16.5</v>
      </c>
      <c r="Q8" s="10">
        <v>17.2</v>
      </c>
      <c r="R8" s="10">
        <v>15.3</v>
      </c>
      <c r="S8" s="10">
        <v>6.5</v>
      </c>
      <c r="T8" s="5">
        <v>45996.510914351849</v>
      </c>
      <c r="U8" s="5">
        <v>45996.511030092595</v>
      </c>
      <c r="V8" s="6">
        <v>1.2731482274830341E-4</v>
      </c>
    </row>
    <row r="9" spans="1:22" x14ac:dyDescent="0.25">
      <c r="A9" s="2">
        <v>85</v>
      </c>
      <c r="B9" t="s">
        <v>152</v>
      </c>
      <c r="C9" t="s">
        <v>19</v>
      </c>
      <c r="D9" t="s">
        <v>147</v>
      </c>
      <c r="E9" t="s">
        <v>24</v>
      </c>
      <c r="F9" t="s">
        <v>143</v>
      </c>
      <c r="G9" s="10">
        <v>8.6</v>
      </c>
      <c r="H9" s="10">
        <v>35.9</v>
      </c>
      <c r="I9" s="10">
        <v>2.2000000000000002</v>
      </c>
      <c r="J9" s="10">
        <v>5.3</v>
      </c>
      <c r="K9" s="10">
        <v>12.3</v>
      </c>
      <c r="L9" s="10">
        <v>6.3</v>
      </c>
      <c r="M9" s="3">
        <v>25</v>
      </c>
      <c r="N9" s="10">
        <v>4.5999999999999996</v>
      </c>
      <c r="O9" s="10">
        <v>8.8000000000000007</v>
      </c>
      <c r="P9" s="10">
        <v>16.8</v>
      </c>
      <c r="Q9" s="10">
        <v>16.8</v>
      </c>
      <c r="R9" s="10">
        <v>15.2</v>
      </c>
      <c r="S9" s="10">
        <v>6.5</v>
      </c>
      <c r="T9" s="5">
        <v>45996.511192129627</v>
      </c>
      <c r="U9" s="5">
        <v>45996.511342592596</v>
      </c>
      <c r="V9" s="6">
        <v>1.6203703125938773E-4</v>
      </c>
    </row>
    <row r="10" spans="1:22" s="15" customFormat="1" x14ac:dyDescent="0.25">
      <c r="A10" s="14">
        <v>86</v>
      </c>
      <c r="B10" s="15" t="s">
        <v>153</v>
      </c>
      <c r="C10" s="15" t="s">
        <v>19</v>
      </c>
      <c r="D10" s="15" t="s">
        <v>147</v>
      </c>
      <c r="E10" s="15" t="s">
        <v>63</v>
      </c>
      <c r="F10" s="15" t="s">
        <v>143</v>
      </c>
      <c r="G10" s="16">
        <v>8.6999999999999993</v>
      </c>
      <c r="H10" s="16">
        <v>36.700000000000003</v>
      </c>
      <c r="I10" s="16">
        <v>2</v>
      </c>
      <c r="J10" s="16">
        <v>5.0999999999999996</v>
      </c>
      <c r="K10" s="16">
        <v>12.1</v>
      </c>
      <c r="L10" s="16">
        <v>6.2</v>
      </c>
      <c r="M10" s="18">
        <v>25</v>
      </c>
      <c r="N10" s="16">
        <v>4.5999999999999996</v>
      </c>
      <c r="O10" s="16">
        <v>7.6</v>
      </c>
      <c r="P10" s="16">
        <v>14.3</v>
      </c>
      <c r="Q10" s="16">
        <v>15.7</v>
      </c>
      <c r="R10" s="16">
        <v>12.6</v>
      </c>
      <c r="S10" s="16">
        <v>5.9</v>
      </c>
      <c r="T10" s="19">
        <v>45996.580335648148</v>
      </c>
      <c r="U10" s="19">
        <v>45996.580462962964</v>
      </c>
      <c r="V10" s="20">
        <v>1.2731482274830341E-4</v>
      </c>
    </row>
    <row r="11" spans="1:22" s="15" customFormat="1" x14ac:dyDescent="0.25">
      <c r="A11" s="14">
        <v>87</v>
      </c>
      <c r="B11" s="15" t="s">
        <v>154</v>
      </c>
      <c r="C11" s="15" t="s">
        <v>19</v>
      </c>
      <c r="D11" s="15" t="s">
        <v>147</v>
      </c>
      <c r="E11" s="15" t="s">
        <v>63</v>
      </c>
      <c r="F11" s="15" t="s">
        <v>143</v>
      </c>
      <c r="G11" s="16">
        <v>8.6</v>
      </c>
      <c r="H11" s="16">
        <v>36.299999999999997</v>
      </c>
      <c r="I11" s="16">
        <v>2.2999999999999998</v>
      </c>
      <c r="J11" s="16">
        <v>5.3</v>
      </c>
      <c r="K11" s="16">
        <v>12.2</v>
      </c>
      <c r="L11" s="16">
        <v>6.2</v>
      </c>
      <c r="M11" s="18">
        <v>25</v>
      </c>
      <c r="N11" s="16">
        <v>5.8</v>
      </c>
      <c r="O11" s="16">
        <v>9</v>
      </c>
      <c r="P11" s="16">
        <v>15.1</v>
      </c>
      <c r="Q11" s="16">
        <v>18.2</v>
      </c>
      <c r="R11" s="16">
        <v>14.5</v>
      </c>
      <c r="S11" s="16">
        <v>7</v>
      </c>
      <c r="T11" s="19">
        <v>45996.580613425926</v>
      </c>
      <c r="U11" s="19">
        <v>45996.580729166664</v>
      </c>
      <c r="V11" s="20">
        <v>1.1574075324460864E-4</v>
      </c>
    </row>
    <row r="12" spans="1:22" s="15" customFormat="1" ht="4.5" hidden="1" customHeight="1" x14ac:dyDescent="0.25">
      <c r="A12" s="14">
        <v>88</v>
      </c>
      <c r="B12" s="15" t="s">
        <v>155</v>
      </c>
      <c r="C12" s="15" t="s">
        <v>19</v>
      </c>
      <c r="D12" s="15" t="s">
        <v>147</v>
      </c>
      <c r="E12" s="15" t="s">
        <v>63</v>
      </c>
      <c r="F12" s="15" t="s">
        <v>143</v>
      </c>
      <c r="G12" s="16">
        <v>8.8000000000000007</v>
      </c>
      <c r="H12" s="16">
        <v>36.299999999999997</v>
      </c>
      <c r="I12" s="16">
        <v>2.2999999999999998</v>
      </c>
      <c r="J12" s="16">
        <v>5.6</v>
      </c>
      <c r="K12" s="16">
        <v>11.9</v>
      </c>
      <c r="L12" s="16">
        <v>6.2</v>
      </c>
      <c r="M12" s="18">
        <v>25</v>
      </c>
      <c r="N12" s="16">
        <v>5.6</v>
      </c>
      <c r="O12" s="16">
        <v>10.199999999999999</v>
      </c>
      <c r="P12" s="16">
        <v>15.3</v>
      </c>
      <c r="Q12" s="16">
        <v>22.3</v>
      </c>
      <c r="R12" s="16">
        <v>15.6</v>
      </c>
      <c r="S12" s="16">
        <v>7.5</v>
      </c>
      <c r="T12" s="19">
        <v>45996.580868055556</v>
      </c>
      <c r="U12" s="19">
        <v>45996.581030092595</v>
      </c>
      <c r="V12" s="20">
        <v>1.6203703125938773E-4</v>
      </c>
    </row>
    <row r="13" spans="1:22" x14ac:dyDescent="0.25">
      <c r="A13" s="2">
        <v>89</v>
      </c>
      <c r="B13" t="s">
        <v>156</v>
      </c>
      <c r="C13" t="s">
        <v>19</v>
      </c>
      <c r="D13" t="s">
        <v>147</v>
      </c>
      <c r="E13" t="s">
        <v>33</v>
      </c>
      <c r="F13" t="s">
        <v>143</v>
      </c>
      <c r="G13" s="10">
        <v>8.5</v>
      </c>
      <c r="H13" s="10">
        <v>36.200000000000003</v>
      </c>
      <c r="I13" s="10">
        <v>2.2000000000000002</v>
      </c>
      <c r="J13" s="10">
        <v>5.3</v>
      </c>
      <c r="K13" s="10">
        <v>12.5</v>
      </c>
      <c r="L13" s="10">
        <v>6.2</v>
      </c>
      <c r="M13" s="3">
        <v>25</v>
      </c>
      <c r="N13" s="10">
        <v>5.0999999999999996</v>
      </c>
      <c r="O13" s="10">
        <v>9.1999999999999993</v>
      </c>
      <c r="P13" s="10">
        <v>14.8</v>
      </c>
      <c r="Q13" s="10">
        <v>17.600000000000001</v>
      </c>
      <c r="R13" s="10">
        <v>13.7</v>
      </c>
      <c r="S13" s="10">
        <v>6.5</v>
      </c>
      <c r="T13" s="5">
        <v>45996.587812500002</v>
      </c>
      <c r="U13" s="5">
        <v>45996.588009259256</v>
      </c>
      <c r="V13" s="6">
        <v>2.0833333837799728E-4</v>
      </c>
    </row>
    <row r="14" spans="1:22" x14ac:dyDescent="0.25">
      <c r="A14" s="2">
        <v>90</v>
      </c>
      <c r="B14" t="s">
        <v>157</v>
      </c>
      <c r="C14" t="s">
        <v>19</v>
      </c>
      <c r="D14" t="s">
        <v>147</v>
      </c>
      <c r="E14" t="s">
        <v>33</v>
      </c>
      <c r="F14" t="s">
        <v>143</v>
      </c>
      <c r="G14" s="10">
        <v>8.6</v>
      </c>
      <c r="H14" s="10">
        <v>36.1</v>
      </c>
      <c r="I14" s="10">
        <v>2.2000000000000002</v>
      </c>
      <c r="J14" s="10">
        <v>5.4</v>
      </c>
      <c r="K14" s="10">
        <v>12.2</v>
      </c>
      <c r="L14" s="10">
        <v>6.3</v>
      </c>
      <c r="M14" s="3">
        <v>25</v>
      </c>
      <c r="N14" s="10">
        <v>5</v>
      </c>
      <c r="O14" s="10">
        <v>8.8000000000000007</v>
      </c>
      <c r="P14" s="10">
        <v>14.9</v>
      </c>
      <c r="Q14" s="10">
        <v>18</v>
      </c>
      <c r="R14" s="10">
        <v>14.3</v>
      </c>
      <c r="S14" s="10">
        <v>6.5</v>
      </c>
      <c r="T14" s="5">
        <v>45996.588171296295</v>
      </c>
      <c r="U14" s="5">
        <v>45996.588333333333</v>
      </c>
      <c r="V14" s="6">
        <v>1.6203703125938773E-4</v>
      </c>
    </row>
    <row r="15" spans="1:22" x14ac:dyDescent="0.25">
      <c r="A15" s="2">
        <v>91</v>
      </c>
      <c r="B15" t="s">
        <v>158</v>
      </c>
      <c r="C15" t="s">
        <v>19</v>
      </c>
      <c r="D15" t="s">
        <v>147</v>
      </c>
      <c r="E15" t="s">
        <v>33</v>
      </c>
      <c r="F15" t="s">
        <v>143</v>
      </c>
      <c r="G15" s="10">
        <v>8.5</v>
      </c>
      <c r="H15" s="10">
        <v>37</v>
      </c>
      <c r="I15" s="10">
        <v>2.4</v>
      </c>
      <c r="J15" s="10">
        <v>5.5</v>
      </c>
      <c r="K15" s="10">
        <v>11.9</v>
      </c>
      <c r="L15" s="10">
        <v>6.2</v>
      </c>
      <c r="M15" s="3">
        <v>25</v>
      </c>
      <c r="N15" s="10">
        <v>5.5</v>
      </c>
      <c r="O15" s="10">
        <v>8.6999999999999993</v>
      </c>
      <c r="P15" s="10">
        <v>15.7</v>
      </c>
      <c r="Q15" s="10">
        <v>20.399999999999999</v>
      </c>
      <c r="R15" s="10">
        <v>16.3</v>
      </c>
      <c r="S15" s="10">
        <v>6.9</v>
      </c>
      <c r="T15" s="5">
        <v>45996.588495370372</v>
      </c>
      <c r="U15" s="5">
        <v>45996.588622685187</v>
      </c>
      <c r="V15" s="6">
        <v>1.1574075324460864E-4</v>
      </c>
    </row>
    <row r="16" spans="1:22" x14ac:dyDescent="0.25">
      <c r="B16" s="1" t="s">
        <v>75</v>
      </c>
      <c r="G16" s="12">
        <f t="shared" ref="G16:S16" si="0">AVERAGE(G4:G15)</f>
        <v>8.6</v>
      </c>
      <c r="H16" s="12">
        <f t="shared" si="0"/>
        <v>35.758333333333333</v>
      </c>
      <c r="I16" s="12">
        <f t="shared" si="0"/>
        <v>2.0916666666666663</v>
      </c>
      <c r="J16" s="12">
        <f t="shared" si="0"/>
        <v>5.3916666666666657</v>
      </c>
      <c r="K16" s="12">
        <f t="shared" si="0"/>
        <v>12.291666666666666</v>
      </c>
      <c r="L16" s="12">
        <f t="shared" si="0"/>
        <v>6.200000000000002</v>
      </c>
      <c r="M16" s="8">
        <f t="shared" si="0"/>
        <v>25</v>
      </c>
      <c r="N16" s="12">
        <f t="shared" si="0"/>
        <v>5.458333333333333</v>
      </c>
      <c r="O16" s="12">
        <f t="shared" si="0"/>
        <v>10.55</v>
      </c>
      <c r="P16" s="12">
        <f t="shared" si="0"/>
        <v>17.266666666666669</v>
      </c>
      <c r="Q16" s="12">
        <f t="shared" si="0"/>
        <v>20.108333333333331</v>
      </c>
      <c r="R16" s="12">
        <f t="shared" si="0"/>
        <v>15.183333333333335</v>
      </c>
      <c r="S16" s="12">
        <f t="shared" si="0"/>
        <v>7.6749999999999998</v>
      </c>
    </row>
    <row r="17" spans="2:19" x14ac:dyDescent="0.25">
      <c r="B17" s="1" t="s">
        <v>76</v>
      </c>
      <c r="G17" s="12">
        <f t="shared" ref="G17:S17" si="1">MIN(G4:G15)</f>
        <v>8.5</v>
      </c>
      <c r="H17" s="12">
        <f t="shared" si="1"/>
        <v>34.1</v>
      </c>
      <c r="I17" s="12">
        <f t="shared" si="1"/>
        <v>1.7</v>
      </c>
      <c r="J17" s="12">
        <f t="shared" si="1"/>
        <v>5.0999999999999996</v>
      </c>
      <c r="K17" s="12">
        <f t="shared" si="1"/>
        <v>11.9</v>
      </c>
      <c r="L17" s="12">
        <f t="shared" si="1"/>
        <v>6</v>
      </c>
      <c r="M17" s="8">
        <f t="shared" si="1"/>
        <v>25</v>
      </c>
      <c r="N17" s="12">
        <f t="shared" si="1"/>
        <v>4</v>
      </c>
      <c r="O17" s="12">
        <f t="shared" si="1"/>
        <v>7.6</v>
      </c>
      <c r="P17" s="12">
        <f t="shared" si="1"/>
        <v>14.3</v>
      </c>
      <c r="Q17" s="12">
        <f t="shared" si="1"/>
        <v>15.6</v>
      </c>
      <c r="R17" s="12">
        <f t="shared" si="1"/>
        <v>12.6</v>
      </c>
      <c r="S17" s="12">
        <f t="shared" si="1"/>
        <v>5.8</v>
      </c>
    </row>
    <row r="18" spans="2:19" x14ac:dyDescent="0.25">
      <c r="B18" s="1" t="s">
        <v>77</v>
      </c>
      <c r="G18" s="12">
        <f t="shared" ref="G18:S18" si="2">MAX(G4:G15)</f>
        <v>8.8000000000000007</v>
      </c>
      <c r="H18" s="12">
        <f t="shared" si="2"/>
        <v>37</v>
      </c>
      <c r="I18" s="12">
        <f t="shared" si="2"/>
        <v>2.4</v>
      </c>
      <c r="J18" s="12">
        <f t="shared" si="2"/>
        <v>5.6</v>
      </c>
      <c r="K18" s="12">
        <f t="shared" si="2"/>
        <v>12.9</v>
      </c>
      <c r="L18" s="12">
        <f t="shared" si="2"/>
        <v>6.4</v>
      </c>
      <c r="M18" s="8">
        <f t="shared" si="2"/>
        <v>25</v>
      </c>
      <c r="N18" s="12">
        <f t="shared" si="2"/>
        <v>7.4</v>
      </c>
      <c r="O18" s="12">
        <f t="shared" si="2"/>
        <v>16.600000000000001</v>
      </c>
      <c r="P18" s="12">
        <f t="shared" si="2"/>
        <v>23</v>
      </c>
      <c r="Q18" s="12">
        <f t="shared" si="2"/>
        <v>27.5</v>
      </c>
      <c r="R18" s="12">
        <f t="shared" si="2"/>
        <v>17.600000000000001</v>
      </c>
      <c r="S18" s="12">
        <f t="shared" si="2"/>
        <v>12</v>
      </c>
    </row>
    <row r="19" spans="2:19" x14ac:dyDescent="0.25">
      <c r="B19" s="1" t="s">
        <v>78</v>
      </c>
      <c r="G19" s="12">
        <f t="shared" ref="G19:S19" si="3">STDEV(G4:G15)</f>
        <v>8.5280286542244246E-2</v>
      </c>
      <c r="H19" s="12">
        <f t="shared" si="3"/>
        <v>0.99128780641724568</v>
      </c>
      <c r="I19" s="12">
        <f t="shared" si="3"/>
        <v>0.2234373344457983</v>
      </c>
      <c r="J19" s="12">
        <f t="shared" si="3"/>
        <v>0.16764862244009221</v>
      </c>
      <c r="K19" s="12">
        <f t="shared" si="3"/>
        <v>0.33698754585385815</v>
      </c>
      <c r="L19" s="12">
        <f t="shared" si="3"/>
        <v>0.12060453783110549</v>
      </c>
      <c r="M19" s="8">
        <f t="shared" si="3"/>
        <v>0</v>
      </c>
      <c r="N19" s="12">
        <f t="shared" si="3"/>
        <v>1.0578351249203024</v>
      </c>
      <c r="O19" s="12">
        <f t="shared" si="3"/>
        <v>3.2964167874168542</v>
      </c>
      <c r="P19" s="12">
        <f t="shared" si="3"/>
        <v>3.2303485129551346</v>
      </c>
      <c r="Q19" s="12">
        <f t="shared" si="3"/>
        <v>4.3008367755236856</v>
      </c>
      <c r="R19" s="12">
        <f t="shared" si="3"/>
        <v>1.4313587526500406</v>
      </c>
      <c r="S19" s="12">
        <f t="shared" si="3"/>
        <v>2.094636006565342</v>
      </c>
    </row>
    <row r="21" spans="2:19" x14ac:dyDescent="0.25">
      <c r="B21" s="1" t="s">
        <v>79</v>
      </c>
      <c r="G21" s="12" t="s">
        <v>80</v>
      </c>
      <c r="H21" s="12" t="s">
        <v>80</v>
      </c>
      <c r="I21" s="12" t="s">
        <v>80</v>
      </c>
      <c r="J21" s="12" t="s">
        <v>80</v>
      </c>
      <c r="K21" s="12" t="s">
        <v>80</v>
      </c>
      <c r="L21" s="12" t="s">
        <v>80</v>
      </c>
      <c r="M21" s="8" t="s">
        <v>80</v>
      </c>
      <c r="N21" s="12" t="s">
        <v>80</v>
      </c>
      <c r="O21" s="12" t="s">
        <v>80</v>
      </c>
      <c r="P21" s="12" t="s">
        <v>80</v>
      </c>
      <c r="Q21" s="12" t="s">
        <v>80</v>
      </c>
      <c r="R21" s="12" t="s">
        <v>80</v>
      </c>
      <c r="S21" s="12" t="s">
        <v>80</v>
      </c>
    </row>
  </sheetData>
  <autoFilter ref="A3:V19" xr:uid="{FA955268-7DD0-499A-80BC-0320A2093237}">
    <filterColumn colId="4">
      <filters blank="1">
        <filter val="L1.2 BL"/>
        <filter val="L1.3 BL"/>
        <filter val="L1.3 BLOFF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8A55-D531-4165-AFA4-A1D334CA0951}">
  <sheetPr filterMode="1"/>
  <dimension ref="A1:Z21"/>
  <sheetViews>
    <sheetView topLeftCell="F1" workbookViewId="0">
      <selection activeCell="K7" sqref="K7"/>
    </sheetView>
  </sheetViews>
  <sheetFormatPr baseColWidth="10" defaultRowHeight="15" x14ac:dyDescent="0.25"/>
  <cols>
    <col min="1" max="1" width="4" bestFit="1" customWidth="1"/>
    <col min="2" max="2" width="30.42578125" bestFit="1" customWidth="1"/>
    <col min="3" max="3" width="7.5703125" bestFit="1" customWidth="1"/>
    <col min="4" max="4" width="15.28515625" bestFit="1" customWidth="1"/>
    <col min="7" max="23" width="11.5703125" bestFit="1" customWidth="1"/>
    <col min="24" max="25" width="18.140625" bestFit="1" customWidth="1"/>
    <col min="26" max="26" width="11.5703125" bestFit="1" customWidth="1"/>
  </cols>
  <sheetData>
    <row r="1" spans="1:26" s="1" customFormat="1" x14ac:dyDescent="0.25">
      <c r="A1" s="1" t="s">
        <v>0</v>
      </c>
    </row>
    <row r="3" spans="1:26" x14ac:dyDescent="0.25">
      <c r="A3" s="2" t="s">
        <v>1</v>
      </c>
      <c r="B3" s="2" t="s">
        <v>159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82</v>
      </c>
      <c r="H3" s="2" t="s">
        <v>83</v>
      </c>
      <c r="I3" s="2" t="s">
        <v>108</v>
      </c>
      <c r="J3" s="2" t="s">
        <v>85</v>
      </c>
      <c r="K3" s="2" t="s">
        <v>86</v>
      </c>
      <c r="L3" s="2" t="s">
        <v>109</v>
      </c>
      <c r="M3" s="2" t="s">
        <v>160</v>
      </c>
      <c r="N3" s="2" t="s">
        <v>161</v>
      </c>
      <c r="O3" s="2" t="s">
        <v>7</v>
      </c>
      <c r="P3" s="2" t="s">
        <v>87</v>
      </c>
      <c r="Q3" s="2" t="s">
        <v>88</v>
      </c>
      <c r="R3" s="2" t="s">
        <v>89</v>
      </c>
      <c r="S3" s="2" t="s">
        <v>90</v>
      </c>
      <c r="T3" s="2" t="s">
        <v>91</v>
      </c>
      <c r="U3" s="2" t="s">
        <v>112</v>
      </c>
      <c r="V3" s="2" t="s">
        <v>162</v>
      </c>
      <c r="W3" s="2" t="s">
        <v>163</v>
      </c>
      <c r="X3" s="2" t="s">
        <v>15</v>
      </c>
      <c r="Y3" s="2" t="s">
        <v>16</v>
      </c>
      <c r="Z3" s="2" t="s">
        <v>17</v>
      </c>
    </row>
    <row r="4" spans="1:26" hidden="1" x14ac:dyDescent="0.25">
      <c r="A4" s="2">
        <v>92</v>
      </c>
      <c r="B4" t="s">
        <v>164</v>
      </c>
      <c r="C4" t="s">
        <v>19</v>
      </c>
      <c r="D4" t="s">
        <v>165</v>
      </c>
      <c r="E4" t="s">
        <v>21</v>
      </c>
      <c r="F4" t="s">
        <v>159</v>
      </c>
      <c r="G4" s="10">
        <v>8.8000000000000007</v>
      </c>
      <c r="H4" s="10">
        <v>15</v>
      </c>
      <c r="I4" s="10">
        <v>5.3</v>
      </c>
      <c r="J4" s="10">
        <v>3.9</v>
      </c>
      <c r="K4" s="11">
        <v>4.1500000000000004</v>
      </c>
      <c r="L4" s="10">
        <v>45.8</v>
      </c>
      <c r="M4" s="11">
        <v>0.31</v>
      </c>
      <c r="N4" s="11">
        <v>0.41</v>
      </c>
      <c r="O4" s="3">
        <v>25</v>
      </c>
      <c r="P4" s="10">
        <v>2.5</v>
      </c>
      <c r="Q4" s="10">
        <v>4.2</v>
      </c>
      <c r="R4" s="10">
        <v>2.5</v>
      </c>
      <c r="S4" s="10">
        <v>3.3</v>
      </c>
      <c r="T4" s="10">
        <v>3</v>
      </c>
      <c r="U4" s="10">
        <v>5.0999999999999996</v>
      </c>
      <c r="V4" s="10">
        <v>3.6</v>
      </c>
      <c r="W4" s="10">
        <v>3.4</v>
      </c>
      <c r="X4" s="5">
        <v>45996.504976851851</v>
      </c>
      <c r="Y4" s="5">
        <v>45996.505254629628</v>
      </c>
      <c r="Z4" s="6">
        <v>2.7777778450399637E-4</v>
      </c>
    </row>
    <row r="5" spans="1:26" hidden="1" x14ac:dyDescent="0.25">
      <c r="A5" s="2">
        <v>93</v>
      </c>
      <c r="B5" t="s">
        <v>166</v>
      </c>
      <c r="C5" t="s">
        <v>19</v>
      </c>
      <c r="D5" t="s">
        <v>165</v>
      </c>
      <c r="E5" t="s">
        <v>21</v>
      </c>
      <c r="F5" t="s">
        <v>159</v>
      </c>
      <c r="G5" s="10">
        <v>8.8000000000000007</v>
      </c>
      <c r="H5" s="10">
        <v>14.6</v>
      </c>
      <c r="I5" s="10">
        <v>5.2</v>
      </c>
      <c r="J5" s="10">
        <v>3.9</v>
      </c>
      <c r="K5" s="11">
        <v>4.0999999999999996</v>
      </c>
      <c r="L5" s="10">
        <v>46.9</v>
      </c>
      <c r="M5" s="11">
        <v>0.27</v>
      </c>
      <c r="N5" s="11">
        <v>0.41</v>
      </c>
      <c r="O5" s="3">
        <v>25</v>
      </c>
      <c r="P5" s="10">
        <v>2.1</v>
      </c>
      <c r="Q5" s="10">
        <v>3.9</v>
      </c>
      <c r="R5" s="10">
        <v>2.1</v>
      </c>
      <c r="S5" s="10">
        <v>2.6</v>
      </c>
      <c r="T5" s="10">
        <v>2.7</v>
      </c>
      <c r="U5" s="10">
        <v>4.7</v>
      </c>
      <c r="V5" s="10">
        <v>3.6</v>
      </c>
      <c r="W5" s="10">
        <v>2.8</v>
      </c>
      <c r="X5" s="5">
        <v>45996.50545138889</v>
      </c>
      <c r="Y5" s="5">
        <v>45996.505682870367</v>
      </c>
      <c r="Z5" s="6">
        <v>2.3148147738538682E-4</v>
      </c>
    </row>
    <row r="6" spans="1:26" hidden="1" x14ac:dyDescent="0.25">
      <c r="A6" s="2">
        <v>94</v>
      </c>
      <c r="B6" t="s">
        <v>167</v>
      </c>
      <c r="C6" t="s">
        <v>19</v>
      </c>
      <c r="D6" t="s">
        <v>165</v>
      </c>
      <c r="E6" t="s">
        <v>21</v>
      </c>
      <c r="F6" t="s">
        <v>159</v>
      </c>
      <c r="G6" s="10">
        <v>8.8000000000000007</v>
      </c>
      <c r="H6" s="10">
        <v>14.5</v>
      </c>
      <c r="I6" s="10">
        <v>5.2</v>
      </c>
      <c r="J6" s="10">
        <v>3.9</v>
      </c>
      <c r="K6" s="11">
        <v>4.1100000000000003</v>
      </c>
      <c r="L6" s="10">
        <v>46.9</v>
      </c>
      <c r="M6" s="11">
        <v>0.27</v>
      </c>
      <c r="N6" s="11">
        <v>0.42</v>
      </c>
      <c r="O6" s="3">
        <v>25</v>
      </c>
      <c r="P6" s="10">
        <v>2.1</v>
      </c>
      <c r="Q6" s="10">
        <v>3.6</v>
      </c>
      <c r="R6" s="10">
        <v>2.1</v>
      </c>
      <c r="S6" s="10">
        <v>2.4</v>
      </c>
      <c r="T6" s="10">
        <v>2.5</v>
      </c>
      <c r="U6" s="10">
        <v>4.7</v>
      </c>
      <c r="V6" s="10">
        <v>3.5</v>
      </c>
      <c r="W6" s="10">
        <v>2.6</v>
      </c>
      <c r="X6" s="5">
        <v>45996.505833333336</v>
      </c>
      <c r="Y6" s="5">
        <v>45996.505983796298</v>
      </c>
      <c r="Z6" s="6">
        <v>1.5046296175569296E-4</v>
      </c>
    </row>
    <row r="7" spans="1:26" x14ac:dyDescent="0.25">
      <c r="A7" s="2">
        <v>95</v>
      </c>
      <c r="B7" t="s">
        <v>168</v>
      </c>
      <c r="C7" t="s">
        <v>19</v>
      </c>
      <c r="D7" t="s">
        <v>165</v>
      </c>
      <c r="E7" t="s">
        <v>24</v>
      </c>
      <c r="F7" t="s">
        <v>159</v>
      </c>
      <c r="G7" s="10">
        <v>9.1</v>
      </c>
      <c r="H7" s="10">
        <v>15.5</v>
      </c>
      <c r="I7" s="10">
        <v>5.4</v>
      </c>
      <c r="J7" s="10">
        <v>3.6</v>
      </c>
      <c r="K7" s="11">
        <v>4.2699999999999996</v>
      </c>
      <c r="L7" s="10">
        <v>45.7</v>
      </c>
      <c r="M7" s="11">
        <v>0.3</v>
      </c>
      <c r="N7" s="11">
        <v>0.46</v>
      </c>
      <c r="O7" s="3">
        <v>25</v>
      </c>
      <c r="P7" s="10">
        <v>1.8</v>
      </c>
      <c r="Q7" s="10">
        <v>2.8</v>
      </c>
      <c r="R7" s="10">
        <v>1.7</v>
      </c>
      <c r="S7" s="10">
        <v>2.2000000000000002</v>
      </c>
      <c r="T7" s="10">
        <v>2.2000000000000002</v>
      </c>
      <c r="U7" s="10">
        <v>3.3</v>
      </c>
      <c r="V7" s="10">
        <v>3.4</v>
      </c>
      <c r="W7" s="10">
        <v>2.4</v>
      </c>
      <c r="X7" s="5">
        <v>45996.511597222219</v>
      </c>
      <c r="Y7" s="5">
        <v>45996.511747685188</v>
      </c>
      <c r="Z7" s="6">
        <v>1.6203703125938773E-4</v>
      </c>
    </row>
    <row r="8" spans="1:26" x14ac:dyDescent="0.25">
      <c r="A8" s="2">
        <v>96</v>
      </c>
      <c r="B8" t="s">
        <v>169</v>
      </c>
      <c r="C8" t="s">
        <v>19</v>
      </c>
      <c r="D8" t="s">
        <v>165</v>
      </c>
      <c r="E8" t="s">
        <v>24</v>
      </c>
      <c r="F8" t="s">
        <v>159</v>
      </c>
      <c r="G8" s="10">
        <v>9.1</v>
      </c>
      <c r="H8" s="10">
        <v>15.5</v>
      </c>
      <c r="I8" s="10">
        <v>5.4</v>
      </c>
      <c r="J8" s="10">
        <v>3.6</v>
      </c>
      <c r="K8" s="11">
        <v>4.3</v>
      </c>
      <c r="L8" s="10">
        <v>45.7</v>
      </c>
      <c r="M8" s="11">
        <v>0.31</v>
      </c>
      <c r="N8" s="11">
        <v>0.47</v>
      </c>
      <c r="O8" s="3">
        <v>25</v>
      </c>
      <c r="P8" s="10">
        <v>1.7</v>
      </c>
      <c r="Q8" s="10">
        <v>2.4</v>
      </c>
      <c r="R8" s="10">
        <v>1.5</v>
      </c>
      <c r="S8" s="10">
        <v>1.8</v>
      </c>
      <c r="T8" s="10">
        <v>1.9</v>
      </c>
      <c r="U8" s="10">
        <v>3.2</v>
      </c>
      <c r="V8" s="10">
        <v>3.1</v>
      </c>
      <c r="W8" s="10">
        <v>2.1</v>
      </c>
      <c r="X8" s="5">
        <v>45996.511944444443</v>
      </c>
      <c r="Y8" s="5">
        <v>45996.512094907404</v>
      </c>
      <c r="Z8" s="6">
        <v>1.6203703125938773E-4</v>
      </c>
    </row>
    <row r="9" spans="1:26" x14ac:dyDescent="0.25">
      <c r="A9" s="2">
        <v>97</v>
      </c>
      <c r="B9" t="s">
        <v>170</v>
      </c>
      <c r="C9" t="s">
        <v>19</v>
      </c>
      <c r="D9" t="s">
        <v>165</v>
      </c>
      <c r="E9" t="s">
        <v>24</v>
      </c>
      <c r="F9" t="s">
        <v>159</v>
      </c>
      <c r="G9" s="10">
        <v>9</v>
      </c>
      <c r="H9" s="10">
        <v>15.3</v>
      </c>
      <c r="I9" s="10">
        <v>5.4</v>
      </c>
      <c r="J9" s="10">
        <v>3.7</v>
      </c>
      <c r="K9" s="11">
        <v>4.3099999999999996</v>
      </c>
      <c r="L9" s="10">
        <v>46</v>
      </c>
      <c r="M9" s="11">
        <v>0.28000000000000003</v>
      </c>
      <c r="N9" s="11">
        <v>0.46</v>
      </c>
      <c r="O9" s="3">
        <v>25</v>
      </c>
      <c r="P9" s="10">
        <v>1.6</v>
      </c>
      <c r="Q9" s="10">
        <v>2.2999999999999998</v>
      </c>
      <c r="R9" s="10">
        <v>1.5</v>
      </c>
      <c r="S9" s="10">
        <v>1.7</v>
      </c>
      <c r="T9" s="10">
        <v>1.8</v>
      </c>
      <c r="U9" s="10">
        <v>3.4</v>
      </c>
      <c r="V9" s="10">
        <v>3.5</v>
      </c>
      <c r="W9" s="10">
        <v>2</v>
      </c>
      <c r="X9" s="5">
        <v>45996.512233796297</v>
      </c>
      <c r="Y9" s="5">
        <v>45996.512430555558</v>
      </c>
      <c r="Z9" s="6">
        <v>1.9675926887430251E-4</v>
      </c>
    </row>
    <row r="10" spans="1:26" s="15" customFormat="1" x14ac:dyDescent="0.25">
      <c r="A10" s="14">
        <v>98</v>
      </c>
      <c r="B10" s="15" t="s">
        <v>171</v>
      </c>
      <c r="C10" s="15" t="s">
        <v>19</v>
      </c>
      <c r="D10" s="15" t="s">
        <v>165</v>
      </c>
      <c r="E10" s="15" t="s">
        <v>63</v>
      </c>
      <c r="F10" s="15" t="s">
        <v>159</v>
      </c>
      <c r="G10" s="16">
        <v>9.1</v>
      </c>
      <c r="H10" s="16">
        <v>15.4</v>
      </c>
      <c r="I10" s="16">
        <v>5.3</v>
      </c>
      <c r="J10" s="16">
        <v>3.6</v>
      </c>
      <c r="K10" s="17">
        <v>4.3</v>
      </c>
      <c r="L10" s="16">
        <v>46.2</v>
      </c>
      <c r="M10" s="17">
        <v>0.33</v>
      </c>
      <c r="N10" s="17">
        <v>0.48</v>
      </c>
      <c r="O10" s="18">
        <v>25</v>
      </c>
      <c r="P10" s="16">
        <v>1.8</v>
      </c>
      <c r="Q10" s="16">
        <v>2.6</v>
      </c>
      <c r="R10" s="16">
        <v>1.6</v>
      </c>
      <c r="S10" s="16">
        <v>2</v>
      </c>
      <c r="T10" s="16">
        <v>1.8</v>
      </c>
      <c r="U10" s="16">
        <v>3.9</v>
      </c>
      <c r="V10" s="16">
        <v>2.9</v>
      </c>
      <c r="W10" s="16">
        <v>2.2999999999999998</v>
      </c>
      <c r="X10" s="19">
        <v>45996.581273148149</v>
      </c>
      <c r="Y10" s="19">
        <v>45996.581435185188</v>
      </c>
      <c r="Z10" s="20">
        <v>1.6203703125938773E-4</v>
      </c>
    </row>
    <row r="11" spans="1:26" s="15" customFormat="1" x14ac:dyDescent="0.25">
      <c r="A11" s="14">
        <v>99</v>
      </c>
      <c r="B11" s="15" t="s">
        <v>172</v>
      </c>
      <c r="C11" s="15" t="s">
        <v>19</v>
      </c>
      <c r="D11" s="15" t="s">
        <v>165</v>
      </c>
      <c r="E11" s="15" t="s">
        <v>63</v>
      </c>
      <c r="F11" s="15" t="s">
        <v>159</v>
      </c>
      <c r="G11" s="16">
        <v>9.1</v>
      </c>
      <c r="H11" s="16">
        <v>15.6</v>
      </c>
      <c r="I11" s="16">
        <v>5.2</v>
      </c>
      <c r="J11" s="16">
        <v>3.6</v>
      </c>
      <c r="K11" s="17">
        <v>4.2699999999999996</v>
      </c>
      <c r="L11" s="16">
        <v>46.9</v>
      </c>
      <c r="M11" s="17">
        <v>0.31</v>
      </c>
      <c r="N11" s="17">
        <v>0.48</v>
      </c>
      <c r="O11" s="18">
        <v>25</v>
      </c>
      <c r="P11" s="16">
        <v>1.8</v>
      </c>
      <c r="Q11" s="16">
        <v>2.5</v>
      </c>
      <c r="R11" s="16">
        <v>1.5</v>
      </c>
      <c r="S11" s="16">
        <v>1.6</v>
      </c>
      <c r="T11" s="16">
        <v>1.6</v>
      </c>
      <c r="U11" s="16">
        <v>3.9</v>
      </c>
      <c r="V11" s="16">
        <v>2.8</v>
      </c>
      <c r="W11" s="16">
        <v>2</v>
      </c>
      <c r="X11" s="19">
        <v>45996.581620370373</v>
      </c>
      <c r="Y11" s="19">
        <v>45996.581863425927</v>
      </c>
      <c r="Z11" s="20">
        <v>2.430555468890816E-4</v>
      </c>
    </row>
    <row r="12" spans="1:26" s="15" customFormat="1" x14ac:dyDescent="0.25">
      <c r="A12" s="14">
        <v>100</v>
      </c>
      <c r="B12" s="15" t="s">
        <v>173</v>
      </c>
      <c r="C12" s="15" t="s">
        <v>19</v>
      </c>
      <c r="D12" s="15" t="s">
        <v>165</v>
      </c>
      <c r="E12" s="15" t="s">
        <v>63</v>
      </c>
      <c r="F12" s="15" t="s">
        <v>159</v>
      </c>
      <c r="G12" s="16">
        <v>9.1</v>
      </c>
      <c r="H12" s="16">
        <v>14.7</v>
      </c>
      <c r="I12" s="16">
        <v>5.2</v>
      </c>
      <c r="J12" s="16">
        <v>3.6</v>
      </c>
      <c r="K12" s="17">
        <v>4.16</v>
      </c>
      <c r="L12" s="16">
        <v>47.5</v>
      </c>
      <c r="M12" s="17">
        <v>0.33</v>
      </c>
      <c r="N12" s="17">
        <v>0.45</v>
      </c>
      <c r="O12" s="18">
        <v>25</v>
      </c>
      <c r="P12" s="16">
        <v>1.8</v>
      </c>
      <c r="Q12" s="16">
        <v>2.6</v>
      </c>
      <c r="R12" s="16">
        <v>1.6</v>
      </c>
      <c r="S12" s="16">
        <v>1.7</v>
      </c>
      <c r="T12" s="16">
        <v>1.8</v>
      </c>
      <c r="U12" s="16">
        <v>3.8</v>
      </c>
      <c r="V12" s="16">
        <v>2.6</v>
      </c>
      <c r="W12" s="16">
        <v>2.4</v>
      </c>
      <c r="X12" s="19">
        <v>45996.582013888888</v>
      </c>
      <c r="Y12" s="19">
        <v>45996.582141203704</v>
      </c>
      <c r="Z12" s="20">
        <v>1.2731482274830341E-4</v>
      </c>
    </row>
    <row r="13" spans="1:26" x14ac:dyDescent="0.25">
      <c r="A13" s="2">
        <v>101</v>
      </c>
      <c r="B13" t="s">
        <v>174</v>
      </c>
      <c r="C13" t="s">
        <v>19</v>
      </c>
      <c r="D13" t="s">
        <v>165</v>
      </c>
      <c r="E13" t="s">
        <v>33</v>
      </c>
      <c r="F13" t="s">
        <v>159</v>
      </c>
      <c r="G13" s="10">
        <v>9.1</v>
      </c>
      <c r="H13" s="10">
        <v>15.4</v>
      </c>
      <c r="I13" s="10">
        <v>5.3</v>
      </c>
      <c r="J13" s="10">
        <v>3.6</v>
      </c>
      <c r="K13" s="11">
        <v>4.3</v>
      </c>
      <c r="L13" s="10">
        <v>46.4</v>
      </c>
      <c r="M13" s="11">
        <v>0.31</v>
      </c>
      <c r="N13" s="11">
        <v>0.47</v>
      </c>
      <c r="O13" s="3">
        <v>25</v>
      </c>
      <c r="P13" s="10">
        <v>1.6</v>
      </c>
      <c r="Q13" s="10">
        <v>2.2999999999999998</v>
      </c>
      <c r="R13" s="10">
        <v>1.5</v>
      </c>
      <c r="S13" s="10">
        <v>1.6</v>
      </c>
      <c r="T13" s="10">
        <v>1.7</v>
      </c>
      <c r="U13" s="10">
        <v>3.5</v>
      </c>
      <c r="V13" s="10">
        <v>3</v>
      </c>
      <c r="W13" s="10">
        <v>2</v>
      </c>
      <c r="X13" s="5">
        <v>45996.588831018518</v>
      </c>
      <c r="Y13" s="5">
        <v>45996.589108796295</v>
      </c>
      <c r="Z13" s="6">
        <v>2.7777778450399637E-4</v>
      </c>
    </row>
    <row r="14" spans="1:26" x14ac:dyDescent="0.25">
      <c r="A14" s="2">
        <v>102</v>
      </c>
      <c r="B14" t="s">
        <v>175</v>
      </c>
      <c r="C14" t="s">
        <v>19</v>
      </c>
      <c r="D14" t="s">
        <v>165</v>
      </c>
      <c r="E14" t="s">
        <v>33</v>
      </c>
      <c r="F14" t="s">
        <v>159</v>
      </c>
      <c r="G14" s="10">
        <v>9.1</v>
      </c>
      <c r="H14" s="10">
        <v>15.3</v>
      </c>
      <c r="I14" s="10">
        <v>5.3</v>
      </c>
      <c r="J14" s="10">
        <v>3.8</v>
      </c>
      <c r="K14" s="11">
        <v>4.37</v>
      </c>
      <c r="L14" s="10">
        <v>46.1</v>
      </c>
      <c r="M14" s="11">
        <v>0.33</v>
      </c>
      <c r="N14" s="11">
        <v>0.48</v>
      </c>
      <c r="O14" s="3">
        <v>25</v>
      </c>
      <c r="P14" s="10">
        <v>1.5</v>
      </c>
      <c r="Q14" s="10">
        <v>2.2999999999999998</v>
      </c>
      <c r="R14" s="10">
        <v>1.4</v>
      </c>
      <c r="S14" s="10">
        <v>1.5</v>
      </c>
      <c r="T14" s="10">
        <v>1.5</v>
      </c>
      <c r="U14" s="10">
        <v>3.8</v>
      </c>
      <c r="V14" s="10">
        <v>2.8</v>
      </c>
      <c r="W14" s="10">
        <v>1.9</v>
      </c>
      <c r="X14" s="5">
        <v>45996.589282407411</v>
      </c>
      <c r="Y14" s="5">
        <v>45996.589479166665</v>
      </c>
      <c r="Z14" s="6">
        <v>1.9675926887430251E-4</v>
      </c>
    </row>
    <row r="15" spans="1:26" x14ac:dyDescent="0.25">
      <c r="A15" s="2">
        <v>103</v>
      </c>
      <c r="B15" t="s">
        <v>176</v>
      </c>
      <c r="C15" t="s">
        <v>19</v>
      </c>
      <c r="D15" t="s">
        <v>165</v>
      </c>
      <c r="E15" t="s">
        <v>33</v>
      </c>
      <c r="F15" t="s">
        <v>159</v>
      </c>
      <c r="G15" s="10">
        <v>9.1</v>
      </c>
      <c r="H15" s="10">
        <v>14.9</v>
      </c>
      <c r="I15" s="10">
        <v>5.0999999999999996</v>
      </c>
      <c r="J15" s="10">
        <v>3.6</v>
      </c>
      <c r="K15" s="11">
        <v>4.21</v>
      </c>
      <c r="L15" s="10">
        <v>47.8</v>
      </c>
      <c r="M15" s="11">
        <v>0.28000000000000003</v>
      </c>
      <c r="N15" s="11">
        <v>0.47</v>
      </c>
      <c r="O15" s="3">
        <v>25</v>
      </c>
      <c r="P15" s="10">
        <v>1.5</v>
      </c>
      <c r="Q15" s="10">
        <v>2.2000000000000002</v>
      </c>
      <c r="R15" s="10">
        <v>1.4</v>
      </c>
      <c r="S15" s="10">
        <v>1.4</v>
      </c>
      <c r="T15" s="10">
        <v>1.6</v>
      </c>
      <c r="U15" s="10">
        <v>3.5</v>
      </c>
      <c r="V15" s="10">
        <v>3.1</v>
      </c>
      <c r="W15" s="10">
        <v>1.8</v>
      </c>
      <c r="X15" s="5">
        <v>45996.589629629627</v>
      </c>
      <c r="Y15" s="5">
        <v>45996.589791666665</v>
      </c>
      <c r="Z15" s="6">
        <v>1.6203703125938773E-4</v>
      </c>
    </row>
    <row r="16" spans="1:26" x14ac:dyDescent="0.25">
      <c r="B16" s="1" t="s">
        <v>75</v>
      </c>
      <c r="G16" s="12">
        <f t="shared" ref="G16:W16" si="0">AVERAGE(G4:G15)</f>
        <v>9.0166666666666639</v>
      </c>
      <c r="H16" s="12">
        <f t="shared" si="0"/>
        <v>15.141666666666667</v>
      </c>
      <c r="I16" s="12">
        <f t="shared" si="0"/>
        <v>5.2749999999999995</v>
      </c>
      <c r="J16" s="12">
        <f t="shared" si="0"/>
        <v>3.6999999999999997</v>
      </c>
      <c r="K16" s="13">
        <f t="shared" si="0"/>
        <v>4.2374999999999998</v>
      </c>
      <c r="L16" s="12">
        <f t="shared" si="0"/>
        <v>46.491666666666667</v>
      </c>
      <c r="M16" s="13">
        <f t="shared" si="0"/>
        <v>0.30250000000000005</v>
      </c>
      <c r="N16" s="13">
        <f t="shared" si="0"/>
        <v>0.45500000000000002</v>
      </c>
      <c r="O16" s="8">
        <f t="shared" si="0"/>
        <v>25</v>
      </c>
      <c r="P16" s="12">
        <f t="shared" si="0"/>
        <v>1.8166666666666667</v>
      </c>
      <c r="Q16" s="12">
        <f t="shared" si="0"/>
        <v>2.8083333333333336</v>
      </c>
      <c r="R16" s="12">
        <f t="shared" si="0"/>
        <v>1.6999999999999995</v>
      </c>
      <c r="S16" s="12">
        <f t="shared" si="0"/>
        <v>1.9833333333333334</v>
      </c>
      <c r="T16" s="12">
        <f t="shared" si="0"/>
        <v>2.0083333333333333</v>
      </c>
      <c r="U16" s="12">
        <f t="shared" si="0"/>
        <v>3.899999999999999</v>
      </c>
      <c r="V16" s="12">
        <f t="shared" si="0"/>
        <v>3.1583333333333332</v>
      </c>
      <c r="W16" s="12">
        <f t="shared" si="0"/>
        <v>2.3083333333333331</v>
      </c>
    </row>
    <row r="17" spans="2:23" x14ac:dyDescent="0.25">
      <c r="B17" s="1" t="s">
        <v>76</v>
      </c>
      <c r="G17" s="12">
        <f t="shared" ref="G17:W17" si="1">MIN(G4:G15)</f>
        <v>8.8000000000000007</v>
      </c>
      <c r="H17" s="12">
        <f t="shared" si="1"/>
        <v>14.5</v>
      </c>
      <c r="I17" s="12">
        <f t="shared" si="1"/>
        <v>5.0999999999999996</v>
      </c>
      <c r="J17" s="12">
        <f t="shared" si="1"/>
        <v>3.6</v>
      </c>
      <c r="K17" s="13">
        <f t="shared" si="1"/>
        <v>4.0999999999999996</v>
      </c>
      <c r="L17" s="12">
        <f t="shared" si="1"/>
        <v>45.7</v>
      </c>
      <c r="M17" s="13">
        <f t="shared" si="1"/>
        <v>0.27</v>
      </c>
      <c r="N17" s="13">
        <f t="shared" si="1"/>
        <v>0.41</v>
      </c>
      <c r="O17" s="8">
        <f t="shared" si="1"/>
        <v>25</v>
      </c>
      <c r="P17" s="12">
        <f t="shared" si="1"/>
        <v>1.5</v>
      </c>
      <c r="Q17" s="12">
        <f t="shared" si="1"/>
        <v>2.2000000000000002</v>
      </c>
      <c r="R17" s="12">
        <f t="shared" si="1"/>
        <v>1.4</v>
      </c>
      <c r="S17" s="12">
        <f t="shared" si="1"/>
        <v>1.4</v>
      </c>
      <c r="T17" s="12">
        <f t="shared" si="1"/>
        <v>1.5</v>
      </c>
      <c r="U17" s="12">
        <f t="shared" si="1"/>
        <v>3.2</v>
      </c>
      <c r="V17" s="12">
        <f t="shared" si="1"/>
        <v>2.6</v>
      </c>
      <c r="W17" s="12">
        <f t="shared" si="1"/>
        <v>1.8</v>
      </c>
    </row>
    <row r="18" spans="2:23" x14ac:dyDescent="0.25">
      <c r="B18" s="1" t="s">
        <v>77</v>
      </c>
      <c r="G18" s="12">
        <f t="shared" ref="G18:W18" si="2">MAX(G4:G15)</f>
        <v>9.1</v>
      </c>
      <c r="H18" s="12">
        <f t="shared" si="2"/>
        <v>15.6</v>
      </c>
      <c r="I18" s="12">
        <f t="shared" si="2"/>
        <v>5.4</v>
      </c>
      <c r="J18" s="12">
        <f t="shared" si="2"/>
        <v>3.9</v>
      </c>
      <c r="K18" s="13">
        <f t="shared" si="2"/>
        <v>4.37</v>
      </c>
      <c r="L18" s="12">
        <f t="shared" si="2"/>
        <v>47.8</v>
      </c>
      <c r="M18" s="13">
        <f t="shared" si="2"/>
        <v>0.33</v>
      </c>
      <c r="N18" s="13">
        <f t="shared" si="2"/>
        <v>0.48</v>
      </c>
      <c r="O18" s="8">
        <f t="shared" si="2"/>
        <v>25</v>
      </c>
      <c r="P18" s="12">
        <f t="shared" si="2"/>
        <v>2.5</v>
      </c>
      <c r="Q18" s="12">
        <f t="shared" si="2"/>
        <v>4.2</v>
      </c>
      <c r="R18" s="12">
        <f t="shared" si="2"/>
        <v>2.5</v>
      </c>
      <c r="S18" s="12">
        <f t="shared" si="2"/>
        <v>3.3</v>
      </c>
      <c r="T18" s="12">
        <f t="shared" si="2"/>
        <v>3</v>
      </c>
      <c r="U18" s="12">
        <f t="shared" si="2"/>
        <v>5.0999999999999996</v>
      </c>
      <c r="V18" s="12">
        <f t="shared" si="2"/>
        <v>3.6</v>
      </c>
      <c r="W18" s="12">
        <f t="shared" si="2"/>
        <v>3.4</v>
      </c>
    </row>
    <row r="19" spans="2:23" x14ac:dyDescent="0.25">
      <c r="B19" s="1" t="s">
        <v>78</v>
      </c>
      <c r="G19" s="12">
        <f t="shared" ref="G19:W19" si="3">STDEV(G4:G15)</f>
        <v>0.1337115846843038</v>
      </c>
      <c r="H19" s="12">
        <f t="shared" si="3"/>
        <v>0.38484550225520464</v>
      </c>
      <c r="I19" s="12">
        <f t="shared" si="3"/>
        <v>9.6530729916342387E-2</v>
      </c>
      <c r="J19" s="12">
        <f t="shared" si="3"/>
        <v>0.13483997249264831</v>
      </c>
      <c r="K19" s="13">
        <f t="shared" si="3"/>
        <v>8.8536073798403461E-2</v>
      </c>
      <c r="L19" s="12">
        <f t="shared" si="3"/>
        <v>0.70383150531841498</v>
      </c>
      <c r="M19" s="13">
        <f t="shared" si="3"/>
        <v>2.2613350843332266E-2</v>
      </c>
      <c r="N19" s="13">
        <f t="shared" si="3"/>
        <v>2.679891449633396E-2</v>
      </c>
      <c r="O19" s="8">
        <f t="shared" si="3"/>
        <v>0</v>
      </c>
      <c r="P19" s="12">
        <f t="shared" si="3"/>
        <v>0.29180732539043036</v>
      </c>
      <c r="Q19" s="12">
        <f t="shared" si="3"/>
        <v>0.69079444822390246</v>
      </c>
      <c r="R19" s="12">
        <f t="shared" si="3"/>
        <v>0.34641016151377829</v>
      </c>
      <c r="S19" s="12">
        <f t="shared" si="3"/>
        <v>0.55568685317171063</v>
      </c>
      <c r="T19" s="12">
        <f t="shared" si="3"/>
        <v>0.48328108390522195</v>
      </c>
      <c r="U19" s="12">
        <f t="shared" si="3"/>
        <v>0.61496489182865199</v>
      </c>
      <c r="V19" s="12">
        <f t="shared" si="3"/>
        <v>0.35021638332824651</v>
      </c>
      <c r="W19" s="12">
        <f t="shared" si="3"/>
        <v>0.45618643185222185</v>
      </c>
    </row>
    <row r="21" spans="2:23" x14ac:dyDescent="0.25">
      <c r="B21" s="1" t="s">
        <v>79</v>
      </c>
      <c r="G21" s="12" t="s">
        <v>80</v>
      </c>
      <c r="H21" s="12" t="s">
        <v>80</v>
      </c>
      <c r="I21" s="12" t="s">
        <v>80</v>
      </c>
      <c r="J21" s="12" t="s">
        <v>80</v>
      </c>
      <c r="K21" s="13" t="s">
        <v>80</v>
      </c>
      <c r="L21" s="12" t="s">
        <v>80</v>
      </c>
      <c r="M21" s="13" t="s">
        <v>80</v>
      </c>
      <c r="N21" s="13" t="s">
        <v>80</v>
      </c>
      <c r="O21" s="8" t="s">
        <v>80</v>
      </c>
      <c r="P21" s="12" t="s">
        <v>80</v>
      </c>
      <c r="Q21" s="12" t="s">
        <v>80</v>
      </c>
      <c r="R21" s="12" t="s">
        <v>80</v>
      </c>
      <c r="S21" s="12" t="s">
        <v>80</v>
      </c>
      <c r="T21" s="12" t="s">
        <v>80</v>
      </c>
      <c r="U21" s="12" t="s">
        <v>80</v>
      </c>
      <c r="V21" s="12" t="s">
        <v>80</v>
      </c>
      <c r="W21" s="12" t="s">
        <v>80</v>
      </c>
    </row>
  </sheetData>
  <autoFilter ref="A3:Z19" xr:uid="{254A8A55-D531-4165-AFA4-A1D334CA0951}">
    <filterColumn colId="4">
      <filters blank="1">
        <filter val="L1.2 BL"/>
        <filter val="L1.3 BL"/>
        <filter val="L1.3 BLOFF"/>
      </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98eb369-7c22-4e6f-947f-a5d05fb884c0}" enabled="0" method="" siteId="{f98eb369-7c22-4e6f-947f-a5d05fb884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Espectros</vt:lpstr>
      <vt:lpstr>Soja</vt:lpstr>
      <vt:lpstr>Maiz</vt:lpstr>
      <vt:lpstr>TrigoTriti</vt:lpstr>
      <vt:lpstr>Colza</vt:lpstr>
      <vt:lpstr>Cerdos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Miquel Pairo</dc:creator>
  <cp:lastModifiedBy>Pairó Miquel</cp:lastModifiedBy>
  <dcterms:created xsi:type="dcterms:W3CDTF">2025-12-05T14:09:28Z</dcterms:created>
  <dcterms:modified xsi:type="dcterms:W3CDTF">2025-12-05T15:42:15Z</dcterms:modified>
</cp:coreProperties>
</file>